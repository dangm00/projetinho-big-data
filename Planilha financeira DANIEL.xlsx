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an\Documents\projetinho\"/>
    </mc:Choice>
  </mc:AlternateContent>
  <bookViews>
    <workbookView xWindow="240" yWindow="105" windowWidth="14805" windowHeight="8010" firstSheet="14" activeTab="25"/>
  </bookViews>
  <sheets>
    <sheet name="NOVEMBRO 2023" sheetId="1" r:id="rId1"/>
    <sheet name="DEZEMBRO 2023" sheetId="2" r:id="rId2"/>
    <sheet name="JANEIRO DE 2024" sheetId="3" r:id="rId3"/>
    <sheet name="FEVEREIRO DE 2024" sheetId="4" r:id="rId4"/>
    <sheet name="MARÇO DE 2024" sheetId="5" r:id="rId5"/>
    <sheet name="ABRIL DE 2024" sheetId="6" r:id="rId6"/>
    <sheet name="MAIO DE 2024" sheetId="7" r:id="rId7"/>
    <sheet name="JUNHO DE 2024" sheetId="8" r:id="rId8"/>
    <sheet name="JULHO DE 2024" sheetId="9" r:id="rId9"/>
    <sheet name="AGOSTO DE 2024" sheetId="10" r:id="rId10"/>
    <sheet name="SETEMBRO DE 2024" sheetId="11" r:id="rId11"/>
    <sheet name="OUTUBRO DE 2024" sheetId="12" r:id="rId12"/>
    <sheet name="NOVEMBRO DE 2024" sheetId="13" r:id="rId13"/>
    <sheet name="DEZEMBRO DE 2024" sheetId="14" r:id="rId14"/>
    <sheet name="JANEIRO 2025" sheetId="15" r:id="rId15"/>
    <sheet name="FEVEREIRO 2025" sheetId="16" r:id="rId16"/>
    <sheet name="MARÇO" sheetId="17" r:id="rId17"/>
    <sheet name="ABRIL" sheetId="18" r:id="rId18"/>
    <sheet name="MAIO" sheetId="19" r:id="rId19"/>
    <sheet name="JUNHO" sheetId="20" r:id="rId20"/>
    <sheet name="JULHO" sheetId="21" r:id="rId21"/>
    <sheet name="AGOSTO" sheetId="22" r:id="rId22"/>
    <sheet name="SETEMBRO" sheetId="23" r:id="rId23"/>
    <sheet name="OUTUBRO" sheetId="24" r:id="rId24"/>
    <sheet name="NOVEMBRO" sheetId="25" r:id="rId25"/>
    <sheet name="GERAL" sheetId="26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2" i="26" l="1"/>
  <c r="H62" i="26"/>
  <c r="I61" i="26"/>
  <c r="H61" i="26"/>
  <c r="I60" i="26"/>
  <c r="H60" i="26"/>
  <c r="I59" i="26"/>
  <c r="H59" i="26"/>
  <c r="I58" i="26"/>
  <c r="H58" i="26"/>
  <c r="I57" i="26"/>
  <c r="H57" i="26"/>
  <c r="I56" i="26"/>
  <c r="H56" i="26"/>
  <c r="I55" i="26"/>
  <c r="H55" i="26"/>
  <c r="I54" i="26"/>
  <c r="H54" i="26"/>
  <c r="I53" i="26"/>
  <c r="H53" i="26"/>
  <c r="I52" i="26"/>
  <c r="H52" i="26"/>
  <c r="I51" i="26"/>
  <c r="H51" i="26"/>
  <c r="I50" i="26"/>
  <c r="H50" i="26"/>
  <c r="I49" i="26"/>
  <c r="H49" i="26"/>
  <c r="I48" i="26"/>
  <c r="H48" i="26"/>
  <c r="I47" i="26"/>
  <c r="H47" i="26"/>
  <c r="I46" i="26"/>
  <c r="H46" i="26"/>
  <c r="I45" i="26"/>
  <c r="H45" i="26"/>
  <c r="I44" i="26"/>
  <c r="H44" i="26"/>
  <c r="I43" i="26"/>
  <c r="H43" i="26"/>
  <c r="I42" i="26"/>
  <c r="H42" i="26"/>
  <c r="I41" i="26"/>
  <c r="H41" i="26"/>
  <c r="I40" i="26"/>
  <c r="H40" i="26"/>
  <c r="I39" i="26"/>
  <c r="H39" i="26"/>
  <c r="I38" i="26"/>
  <c r="H38" i="26"/>
  <c r="I37" i="26"/>
  <c r="H37" i="26"/>
  <c r="I36" i="26"/>
  <c r="H36" i="26"/>
  <c r="I35" i="26"/>
  <c r="H35" i="26"/>
  <c r="I34" i="26"/>
  <c r="H34" i="26"/>
  <c r="I33" i="26"/>
  <c r="H33" i="26"/>
  <c r="I32" i="26"/>
  <c r="H32" i="26"/>
  <c r="I31" i="26"/>
  <c r="H31" i="26"/>
  <c r="I30" i="26"/>
  <c r="H30" i="26"/>
  <c r="I29" i="26"/>
  <c r="H29" i="26"/>
  <c r="I28" i="26"/>
  <c r="H28" i="26"/>
  <c r="I27" i="26"/>
  <c r="H27" i="26"/>
  <c r="I26" i="26"/>
  <c r="H26" i="26"/>
  <c r="I25" i="26"/>
  <c r="H25" i="26"/>
  <c r="I24" i="26"/>
  <c r="H24" i="26"/>
  <c r="I23" i="26"/>
  <c r="H23" i="26"/>
  <c r="I22" i="26"/>
  <c r="H22" i="26"/>
  <c r="I21" i="26"/>
  <c r="H21" i="26"/>
  <c r="I20" i="26"/>
  <c r="H20" i="26"/>
  <c r="I19" i="26"/>
  <c r="H19" i="26"/>
  <c r="I18" i="26"/>
  <c r="H18" i="26"/>
  <c r="I17" i="26"/>
  <c r="H17" i="26"/>
  <c r="I16" i="26"/>
  <c r="H16" i="26"/>
  <c r="I15" i="26"/>
  <c r="H15" i="26"/>
  <c r="I14" i="26"/>
  <c r="H14" i="26"/>
  <c r="I13" i="26"/>
  <c r="H13" i="26"/>
  <c r="I12" i="26"/>
  <c r="H12" i="26"/>
  <c r="I11" i="26"/>
  <c r="H11" i="26"/>
  <c r="I10" i="26"/>
  <c r="H10" i="26"/>
  <c r="I9" i="26"/>
  <c r="H9" i="26"/>
  <c r="I8" i="26"/>
  <c r="H8" i="26"/>
  <c r="I7" i="26"/>
  <c r="H7" i="26"/>
  <c r="I6" i="26"/>
  <c r="H6" i="26"/>
  <c r="I5" i="26"/>
  <c r="H5" i="26"/>
  <c r="I4" i="26"/>
  <c r="H4" i="26"/>
  <c r="I3" i="26"/>
  <c r="H3" i="26"/>
  <c r="I2" i="26"/>
  <c r="H2" i="26"/>
  <c r="G36" i="25" l="1"/>
  <c r="F36" i="25"/>
  <c r="P7" i="25" s="1"/>
  <c r="I35" i="25"/>
  <c r="H35" i="25"/>
  <c r="I34" i="25"/>
  <c r="H34" i="25"/>
  <c r="I33" i="25"/>
  <c r="H33" i="25"/>
  <c r="I32" i="25"/>
  <c r="H32" i="25"/>
  <c r="I31" i="25"/>
  <c r="H31" i="25"/>
  <c r="I30" i="25"/>
  <c r="H30" i="25"/>
  <c r="I29" i="25"/>
  <c r="H29" i="25"/>
  <c r="I28" i="25"/>
  <c r="H28" i="25"/>
  <c r="I27" i="25"/>
  <c r="H27" i="25"/>
  <c r="I26" i="25"/>
  <c r="H26" i="25"/>
  <c r="I25" i="25"/>
  <c r="H25" i="25"/>
  <c r="I24" i="25"/>
  <c r="H24" i="25"/>
  <c r="I23" i="25"/>
  <c r="H23" i="25"/>
  <c r="I22" i="25"/>
  <c r="H22" i="25"/>
  <c r="I21" i="25"/>
  <c r="H21" i="25"/>
  <c r="I20" i="25"/>
  <c r="H20" i="25"/>
  <c r="I19" i="25"/>
  <c r="H19" i="25"/>
  <c r="I18" i="25"/>
  <c r="H18" i="25"/>
  <c r="I17" i="25"/>
  <c r="H17" i="25"/>
  <c r="I16" i="25"/>
  <c r="H16" i="25"/>
  <c r="I15" i="25"/>
  <c r="H15" i="25"/>
  <c r="I14" i="25"/>
  <c r="H14" i="25"/>
  <c r="I13" i="25"/>
  <c r="H13" i="25"/>
  <c r="I12" i="25"/>
  <c r="H12" i="25"/>
  <c r="I11" i="25"/>
  <c r="H11" i="25"/>
  <c r="I10" i="25"/>
  <c r="H10" i="25"/>
  <c r="I9" i="25"/>
  <c r="P10" i="25" s="1"/>
  <c r="H9" i="25"/>
  <c r="I8" i="25"/>
  <c r="H8" i="25"/>
  <c r="I7" i="25"/>
  <c r="I6" i="25"/>
  <c r="H6" i="25"/>
  <c r="P5" i="25"/>
  <c r="P4" i="25"/>
  <c r="P9" i="25" l="1"/>
  <c r="P11" i="25" s="1"/>
  <c r="P8" i="25"/>
  <c r="P4" i="24"/>
  <c r="P12" i="25" l="1"/>
  <c r="G37" i="24"/>
  <c r="F37" i="24"/>
  <c r="P7" i="24" s="1"/>
  <c r="I36" i="24"/>
  <c r="H36" i="24"/>
  <c r="I35" i="24"/>
  <c r="H35" i="24"/>
  <c r="I34" i="24"/>
  <c r="H34" i="24"/>
  <c r="I33" i="24"/>
  <c r="H33" i="24"/>
  <c r="I32" i="24"/>
  <c r="H32" i="24"/>
  <c r="I31" i="24"/>
  <c r="H31" i="24"/>
  <c r="I30" i="24"/>
  <c r="H30" i="24"/>
  <c r="I29" i="24"/>
  <c r="H29" i="24"/>
  <c r="I28" i="24"/>
  <c r="H28" i="24"/>
  <c r="I27" i="24"/>
  <c r="H27" i="24"/>
  <c r="I26" i="24"/>
  <c r="H26" i="24"/>
  <c r="I25" i="24"/>
  <c r="H25" i="24"/>
  <c r="I24" i="24"/>
  <c r="H24" i="24"/>
  <c r="I23" i="24"/>
  <c r="H23" i="24"/>
  <c r="I22" i="24"/>
  <c r="H22" i="24"/>
  <c r="I21" i="24"/>
  <c r="H21" i="24"/>
  <c r="I20" i="24"/>
  <c r="H20" i="24"/>
  <c r="I19" i="24"/>
  <c r="H19" i="24"/>
  <c r="I18" i="24"/>
  <c r="H18" i="24"/>
  <c r="I17" i="24"/>
  <c r="H17" i="24"/>
  <c r="I16" i="24"/>
  <c r="H16" i="24"/>
  <c r="I15" i="24"/>
  <c r="H15" i="24"/>
  <c r="H6" i="24"/>
  <c r="H7" i="24"/>
  <c r="H8" i="24"/>
  <c r="H9" i="24"/>
  <c r="H10" i="24"/>
  <c r="H11" i="24"/>
  <c r="H12" i="24"/>
  <c r="H13" i="24"/>
  <c r="H14" i="24"/>
  <c r="I6" i="24"/>
  <c r="I7" i="24"/>
  <c r="I8" i="24"/>
  <c r="I9" i="24"/>
  <c r="I10" i="24"/>
  <c r="I11" i="24"/>
  <c r="I12" i="24"/>
  <c r="I13" i="24"/>
  <c r="I14" i="24"/>
  <c r="P10" i="24"/>
  <c r="P5" i="24"/>
  <c r="P8" i="24"/>
  <c r="G36" i="23"/>
  <c r="F36" i="23"/>
  <c r="P7" i="23"/>
  <c r="I35" i="23"/>
  <c r="H35" i="23"/>
  <c r="I34" i="23"/>
  <c r="H34" i="23"/>
  <c r="I33" i="23"/>
  <c r="H33" i="23"/>
  <c r="I32" i="23"/>
  <c r="H32" i="23"/>
  <c r="I31" i="23"/>
  <c r="H31" i="23"/>
  <c r="I30" i="23"/>
  <c r="H30" i="23"/>
  <c r="I29" i="23"/>
  <c r="H29" i="23"/>
  <c r="I28" i="23"/>
  <c r="H28" i="23"/>
  <c r="I27" i="23"/>
  <c r="H27" i="23"/>
  <c r="I26" i="23"/>
  <c r="H26" i="23"/>
  <c r="I25" i="23"/>
  <c r="H25" i="23"/>
  <c r="I24" i="23"/>
  <c r="H24" i="23"/>
  <c r="I23" i="23"/>
  <c r="H23" i="23"/>
  <c r="I22" i="23"/>
  <c r="H22" i="23"/>
  <c r="I21" i="23"/>
  <c r="H21" i="23"/>
  <c r="I20" i="23"/>
  <c r="H20" i="23"/>
  <c r="I19" i="23"/>
  <c r="H19" i="23"/>
  <c r="I18" i="23"/>
  <c r="H18" i="23"/>
  <c r="I17" i="23"/>
  <c r="H17" i="23"/>
  <c r="I16" i="23"/>
  <c r="H16" i="23"/>
  <c r="I15" i="23"/>
  <c r="H15" i="23"/>
  <c r="I14" i="23"/>
  <c r="H14" i="23"/>
  <c r="I13" i="23"/>
  <c r="H13" i="23"/>
  <c r="I12" i="23"/>
  <c r="H12" i="23"/>
  <c r="I11" i="23"/>
  <c r="H11" i="23"/>
  <c r="I10" i="23"/>
  <c r="H10" i="23"/>
  <c r="I9" i="23"/>
  <c r="I6" i="23"/>
  <c r="I7" i="23"/>
  <c r="I8" i="23"/>
  <c r="P10" i="23"/>
  <c r="H9" i="23"/>
  <c r="H8" i="23"/>
  <c r="H6" i="23"/>
  <c r="P5" i="23"/>
  <c r="P4" i="23"/>
  <c r="P9" i="23"/>
  <c r="P11" i="23"/>
  <c r="P8" i="23"/>
  <c r="G37" i="22"/>
  <c r="F37" i="22"/>
  <c r="P7" i="22"/>
  <c r="I36" i="22"/>
  <c r="H36" i="22"/>
  <c r="I35" i="22"/>
  <c r="H35" i="22"/>
  <c r="I34" i="22"/>
  <c r="H34" i="22"/>
  <c r="I33" i="22"/>
  <c r="H33" i="22"/>
  <c r="I32" i="22"/>
  <c r="H32" i="22"/>
  <c r="I31" i="22"/>
  <c r="H31" i="22"/>
  <c r="I30" i="22"/>
  <c r="H30" i="22"/>
  <c r="I29" i="22"/>
  <c r="H29" i="22"/>
  <c r="I28" i="22"/>
  <c r="H28" i="22"/>
  <c r="I27" i="22"/>
  <c r="H27" i="22"/>
  <c r="I26" i="22"/>
  <c r="H26" i="22"/>
  <c r="I25" i="22"/>
  <c r="H25" i="22"/>
  <c r="I24" i="22"/>
  <c r="H24" i="22"/>
  <c r="I23" i="22"/>
  <c r="H23" i="22"/>
  <c r="I22" i="22"/>
  <c r="H22" i="22"/>
  <c r="I21" i="22"/>
  <c r="H21" i="22"/>
  <c r="I20" i="22"/>
  <c r="H20" i="22"/>
  <c r="I19" i="22"/>
  <c r="H19" i="22"/>
  <c r="I18" i="22"/>
  <c r="H18" i="22"/>
  <c r="I17" i="22"/>
  <c r="H17" i="22"/>
  <c r="I16" i="22"/>
  <c r="H16" i="22"/>
  <c r="I15" i="22"/>
  <c r="H15" i="22"/>
  <c r="I14" i="22"/>
  <c r="H14" i="22"/>
  <c r="I13" i="22"/>
  <c r="H13" i="22"/>
  <c r="I12" i="22"/>
  <c r="H12" i="22"/>
  <c r="I11" i="22"/>
  <c r="H11" i="22"/>
  <c r="I10" i="22"/>
  <c r="I6" i="22"/>
  <c r="I7" i="22"/>
  <c r="I8" i="22"/>
  <c r="I9" i="22"/>
  <c r="P10" i="22"/>
  <c r="H10" i="22"/>
  <c r="H9" i="22"/>
  <c r="H8" i="22"/>
  <c r="H7" i="22"/>
  <c r="H6" i="22"/>
  <c r="P5" i="22"/>
  <c r="P4" i="22"/>
  <c r="P12" i="23"/>
  <c r="P9" i="22"/>
  <c r="P11" i="22"/>
  <c r="P8" i="22"/>
  <c r="G37" i="21"/>
  <c r="F37" i="21"/>
  <c r="I36" i="21"/>
  <c r="H36" i="21"/>
  <c r="I35" i="21"/>
  <c r="H35" i="21"/>
  <c r="I34" i="21"/>
  <c r="H34" i="21"/>
  <c r="I33" i="21"/>
  <c r="H33" i="21"/>
  <c r="I32" i="21"/>
  <c r="H32" i="21"/>
  <c r="I31" i="21"/>
  <c r="H31" i="21"/>
  <c r="I30" i="21"/>
  <c r="H30" i="21"/>
  <c r="I29" i="21"/>
  <c r="H29" i="21"/>
  <c r="I28" i="21"/>
  <c r="H28" i="21"/>
  <c r="I27" i="21"/>
  <c r="H27" i="21"/>
  <c r="I26" i="21"/>
  <c r="H26" i="21"/>
  <c r="I25" i="21"/>
  <c r="H25" i="21"/>
  <c r="I24" i="21"/>
  <c r="H24" i="21"/>
  <c r="I23" i="21"/>
  <c r="H23" i="21"/>
  <c r="I22" i="21"/>
  <c r="H22" i="21"/>
  <c r="I21" i="21"/>
  <c r="H21" i="21"/>
  <c r="I20" i="21"/>
  <c r="H20" i="21"/>
  <c r="I19" i="21"/>
  <c r="H19" i="21"/>
  <c r="I18" i="21"/>
  <c r="H18" i="21"/>
  <c r="I17" i="21"/>
  <c r="H17" i="21"/>
  <c r="I16" i="21"/>
  <c r="H16" i="21"/>
  <c r="I15" i="21"/>
  <c r="H15" i="21"/>
  <c r="I14" i="21"/>
  <c r="H14" i="21"/>
  <c r="I13" i="21"/>
  <c r="H13" i="21"/>
  <c r="I12" i="21"/>
  <c r="H12" i="21"/>
  <c r="I11" i="21"/>
  <c r="H11" i="21"/>
  <c r="I10" i="21"/>
  <c r="H10" i="21"/>
  <c r="I9" i="21"/>
  <c r="H9" i="21"/>
  <c r="I8" i="21"/>
  <c r="H8" i="21"/>
  <c r="I7" i="21"/>
  <c r="H7" i="21"/>
  <c r="I6" i="21"/>
  <c r="H6" i="21"/>
  <c r="P5" i="21"/>
  <c r="P4" i="21"/>
  <c r="P12" i="22"/>
  <c r="P9" i="21"/>
  <c r="P10" i="21"/>
  <c r="P7" i="21"/>
  <c r="P8" i="21"/>
  <c r="G36" i="20"/>
  <c r="F36" i="20"/>
  <c r="P7" i="20"/>
  <c r="I35" i="20"/>
  <c r="H35" i="20"/>
  <c r="I34" i="20"/>
  <c r="H34" i="20"/>
  <c r="I33" i="20"/>
  <c r="H33" i="20"/>
  <c r="I32" i="20"/>
  <c r="H32" i="20"/>
  <c r="I31" i="20"/>
  <c r="H31" i="20"/>
  <c r="I30" i="20"/>
  <c r="H30" i="20"/>
  <c r="I29" i="20"/>
  <c r="H29" i="20"/>
  <c r="I28" i="20"/>
  <c r="H28" i="20"/>
  <c r="I27" i="20"/>
  <c r="H27" i="20"/>
  <c r="I26" i="20"/>
  <c r="H26" i="20"/>
  <c r="I25" i="20"/>
  <c r="H25" i="20"/>
  <c r="I24" i="20"/>
  <c r="H24" i="20"/>
  <c r="I23" i="20"/>
  <c r="H23" i="20"/>
  <c r="I22" i="20"/>
  <c r="H22" i="20"/>
  <c r="I21" i="20"/>
  <c r="H21" i="20"/>
  <c r="I20" i="20"/>
  <c r="H20" i="20"/>
  <c r="I19" i="20"/>
  <c r="H19" i="20"/>
  <c r="I18" i="20"/>
  <c r="H18" i="20"/>
  <c r="I17" i="20"/>
  <c r="H17" i="20"/>
  <c r="I16" i="20"/>
  <c r="H16" i="20"/>
  <c r="I15" i="20"/>
  <c r="H15" i="20"/>
  <c r="I14" i="20"/>
  <c r="H14" i="20"/>
  <c r="I13" i="20"/>
  <c r="H13" i="20"/>
  <c r="I12" i="20"/>
  <c r="H12" i="20"/>
  <c r="I11" i="20"/>
  <c r="H11" i="20"/>
  <c r="I10" i="20"/>
  <c r="H10" i="20"/>
  <c r="I9" i="20"/>
  <c r="H9" i="20"/>
  <c r="I8" i="20"/>
  <c r="H8" i="20"/>
  <c r="I7" i="20"/>
  <c r="I6" i="20"/>
  <c r="H6" i="20"/>
  <c r="P5" i="20"/>
  <c r="P4" i="20"/>
  <c r="P11" i="21"/>
  <c r="P12" i="21"/>
  <c r="P10" i="20"/>
  <c r="P9" i="20"/>
  <c r="P8" i="20"/>
  <c r="G37" i="19"/>
  <c r="F37" i="19"/>
  <c r="I36" i="19"/>
  <c r="H36" i="19"/>
  <c r="I35" i="19"/>
  <c r="H35" i="19"/>
  <c r="I34" i="19"/>
  <c r="H34" i="19"/>
  <c r="I33" i="19"/>
  <c r="H33" i="19"/>
  <c r="I32" i="19"/>
  <c r="H32" i="19"/>
  <c r="I31" i="19"/>
  <c r="H31" i="19"/>
  <c r="I30" i="19"/>
  <c r="H30" i="19"/>
  <c r="I29" i="19"/>
  <c r="H29" i="19"/>
  <c r="I28" i="19"/>
  <c r="H28" i="19"/>
  <c r="I27" i="19"/>
  <c r="H27" i="19"/>
  <c r="I26" i="19"/>
  <c r="H26" i="19"/>
  <c r="I25" i="19"/>
  <c r="H25" i="19"/>
  <c r="I24" i="19"/>
  <c r="H24" i="19"/>
  <c r="I23" i="19"/>
  <c r="H23" i="19"/>
  <c r="I22" i="19"/>
  <c r="H22" i="19"/>
  <c r="I21" i="19"/>
  <c r="H21" i="19"/>
  <c r="I20" i="19"/>
  <c r="H20" i="19"/>
  <c r="I19" i="19"/>
  <c r="H19" i="19"/>
  <c r="I18" i="19"/>
  <c r="H18" i="19"/>
  <c r="I17" i="19"/>
  <c r="H17" i="19"/>
  <c r="I16" i="19"/>
  <c r="H16" i="19"/>
  <c r="I15" i="19"/>
  <c r="H15" i="19"/>
  <c r="I14" i="19"/>
  <c r="H14" i="19"/>
  <c r="I13" i="19"/>
  <c r="H13" i="19"/>
  <c r="I12" i="19"/>
  <c r="H12" i="19"/>
  <c r="I11" i="19"/>
  <c r="H11" i="19"/>
  <c r="I10" i="19"/>
  <c r="H10" i="19"/>
  <c r="I9" i="19"/>
  <c r="H9" i="19"/>
  <c r="I8" i="19"/>
  <c r="H8" i="19"/>
  <c r="I7" i="19"/>
  <c r="H7" i="19"/>
  <c r="I6" i="19"/>
  <c r="H6" i="19"/>
  <c r="P5" i="19"/>
  <c r="P4" i="19"/>
  <c r="P11" i="20"/>
  <c r="P12" i="20"/>
  <c r="P7" i="19"/>
  <c r="P9" i="19"/>
  <c r="P10" i="19"/>
  <c r="P8" i="19"/>
  <c r="G36" i="18"/>
  <c r="F36" i="18"/>
  <c r="I35" i="18"/>
  <c r="H35" i="18"/>
  <c r="I34" i="18"/>
  <c r="H34" i="18"/>
  <c r="I33" i="18"/>
  <c r="H33" i="18"/>
  <c r="I32" i="18"/>
  <c r="H32" i="18"/>
  <c r="I31" i="18"/>
  <c r="H31" i="18"/>
  <c r="I30" i="18"/>
  <c r="H30" i="18"/>
  <c r="I29" i="18"/>
  <c r="H29" i="18"/>
  <c r="I28" i="18"/>
  <c r="H28" i="18"/>
  <c r="I27" i="18"/>
  <c r="H27" i="18"/>
  <c r="I26" i="18"/>
  <c r="H26" i="18"/>
  <c r="I25" i="18"/>
  <c r="H25" i="18"/>
  <c r="I24" i="18"/>
  <c r="H24" i="18"/>
  <c r="I23" i="18"/>
  <c r="H23" i="18"/>
  <c r="I22" i="18"/>
  <c r="H22" i="18"/>
  <c r="I21" i="18"/>
  <c r="H21" i="18"/>
  <c r="I20" i="18"/>
  <c r="H20" i="18"/>
  <c r="I19" i="18"/>
  <c r="H19" i="18"/>
  <c r="I18" i="18"/>
  <c r="H18" i="18"/>
  <c r="I17" i="18"/>
  <c r="H17" i="18"/>
  <c r="I16" i="18"/>
  <c r="H16" i="18"/>
  <c r="I15" i="18"/>
  <c r="H15" i="18"/>
  <c r="I14" i="18"/>
  <c r="H14" i="18"/>
  <c r="I13" i="18"/>
  <c r="H13" i="18"/>
  <c r="I12" i="18"/>
  <c r="H12" i="18"/>
  <c r="I11" i="18"/>
  <c r="H11" i="18"/>
  <c r="I10" i="18"/>
  <c r="H10" i="18"/>
  <c r="I9" i="18"/>
  <c r="H9" i="18"/>
  <c r="I8" i="18"/>
  <c r="H8" i="18"/>
  <c r="I7" i="18"/>
  <c r="I6" i="18"/>
  <c r="H6" i="18"/>
  <c r="P5" i="18"/>
  <c r="P4" i="18"/>
  <c r="P11" i="19"/>
  <c r="P12" i="19"/>
  <c r="P7" i="18"/>
  <c r="P10" i="18"/>
  <c r="P9" i="18"/>
  <c r="P8" i="18"/>
  <c r="G37" i="17"/>
  <c r="F37" i="17"/>
  <c r="P7" i="17"/>
  <c r="I36" i="17"/>
  <c r="H36" i="17"/>
  <c r="I35" i="17"/>
  <c r="H35" i="17"/>
  <c r="I34" i="17"/>
  <c r="H34" i="17"/>
  <c r="I33" i="17"/>
  <c r="H33" i="17"/>
  <c r="I32" i="17"/>
  <c r="H32" i="17"/>
  <c r="I31" i="17"/>
  <c r="H31" i="17"/>
  <c r="I30" i="17"/>
  <c r="H30" i="17"/>
  <c r="I29" i="17"/>
  <c r="H29" i="17"/>
  <c r="I28" i="17"/>
  <c r="H28" i="17"/>
  <c r="I27" i="17"/>
  <c r="H27" i="17"/>
  <c r="I26" i="17"/>
  <c r="H26" i="17"/>
  <c r="I25" i="17"/>
  <c r="H25" i="17"/>
  <c r="I24" i="17"/>
  <c r="H24" i="17"/>
  <c r="I23" i="17"/>
  <c r="H23" i="17"/>
  <c r="I22" i="17"/>
  <c r="H22" i="17"/>
  <c r="I21" i="17"/>
  <c r="H21" i="17"/>
  <c r="I20" i="17"/>
  <c r="H20" i="17"/>
  <c r="I19" i="17"/>
  <c r="H19" i="17"/>
  <c r="I18" i="17"/>
  <c r="H18" i="17"/>
  <c r="I17" i="17"/>
  <c r="H17" i="17"/>
  <c r="I16" i="17"/>
  <c r="H16" i="17"/>
  <c r="I15" i="17"/>
  <c r="H15" i="17"/>
  <c r="I14" i="17"/>
  <c r="I6" i="17"/>
  <c r="I7" i="17"/>
  <c r="I8" i="17"/>
  <c r="I9" i="17"/>
  <c r="I10" i="17"/>
  <c r="I11" i="17"/>
  <c r="I12" i="17"/>
  <c r="I13" i="17"/>
  <c r="P10" i="17"/>
  <c r="H14" i="17"/>
  <c r="H13" i="17"/>
  <c r="H12" i="17"/>
  <c r="H11" i="17"/>
  <c r="H10" i="17"/>
  <c r="H9" i="17"/>
  <c r="H8" i="17"/>
  <c r="H7" i="17"/>
  <c r="H6" i="17"/>
  <c r="P5" i="17"/>
  <c r="P4" i="17"/>
  <c r="P11" i="18"/>
  <c r="P12" i="18"/>
  <c r="P9" i="17"/>
  <c r="P11" i="17"/>
  <c r="P8" i="17"/>
  <c r="P7" i="16"/>
  <c r="P12" i="17"/>
  <c r="P5" i="15"/>
  <c r="P4" i="15"/>
  <c r="P8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P9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P10" i="15"/>
  <c r="P11" i="15"/>
  <c r="P12" i="15"/>
  <c r="F34" i="16"/>
  <c r="H6" i="16"/>
  <c r="P5" i="16"/>
  <c r="P4" i="16"/>
  <c r="G34" i="16"/>
  <c r="P10" i="16"/>
  <c r="I33" i="16"/>
  <c r="H33" i="16"/>
  <c r="I32" i="16"/>
  <c r="H32" i="16"/>
  <c r="I31" i="16"/>
  <c r="H31" i="16"/>
  <c r="I30" i="16"/>
  <c r="H30" i="16"/>
  <c r="I29" i="16"/>
  <c r="H29" i="16"/>
  <c r="I28" i="16"/>
  <c r="H28" i="16"/>
  <c r="I27" i="16"/>
  <c r="H27" i="16"/>
  <c r="I26" i="16"/>
  <c r="H26" i="16"/>
  <c r="I25" i="16"/>
  <c r="H25" i="16"/>
  <c r="I24" i="16"/>
  <c r="H24" i="16"/>
  <c r="I23" i="16"/>
  <c r="H23" i="16"/>
  <c r="I22" i="16"/>
  <c r="H22" i="16"/>
  <c r="I21" i="16"/>
  <c r="H21" i="16"/>
  <c r="I20" i="16"/>
  <c r="H20" i="16"/>
  <c r="I19" i="16"/>
  <c r="H19" i="16"/>
  <c r="I18" i="16"/>
  <c r="H18" i="16"/>
  <c r="I17" i="16"/>
  <c r="H17" i="16"/>
  <c r="I16" i="16"/>
  <c r="H16" i="16"/>
  <c r="I15" i="16"/>
  <c r="H15" i="16"/>
  <c r="I14" i="16"/>
  <c r="H14" i="16"/>
  <c r="I13" i="16"/>
  <c r="H13" i="16"/>
  <c r="I12" i="16"/>
  <c r="H12" i="16"/>
  <c r="I11" i="16"/>
  <c r="H11" i="16"/>
  <c r="I10" i="16"/>
  <c r="H10" i="16"/>
  <c r="I9" i="16"/>
  <c r="H9" i="16"/>
  <c r="I8" i="16"/>
  <c r="H8" i="16"/>
  <c r="I7" i="16"/>
  <c r="H7" i="16"/>
  <c r="I6" i="16"/>
  <c r="P9" i="16"/>
  <c r="P11" i="16"/>
  <c r="P8" i="16"/>
  <c r="G37" i="15"/>
  <c r="F37" i="15"/>
  <c r="P7" i="15"/>
  <c r="P12" i="16"/>
  <c r="H7" i="14"/>
  <c r="H9" i="14"/>
  <c r="H8" i="14"/>
  <c r="H6" i="14"/>
  <c r="H10" i="14"/>
  <c r="H21" i="13"/>
  <c r="G37" i="14"/>
  <c r="F37" i="14"/>
  <c r="P7" i="14"/>
  <c r="I36" i="14"/>
  <c r="H36" i="14"/>
  <c r="I35" i="14"/>
  <c r="H35" i="14"/>
  <c r="I34" i="14"/>
  <c r="H34" i="14"/>
  <c r="I33" i="14"/>
  <c r="H33" i="14"/>
  <c r="I32" i="14"/>
  <c r="H32" i="14"/>
  <c r="I31" i="14"/>
  <c r="H31" i="14"/>
  <c r="I30" i="14"/>
  <c r="H30" i="14"/>
  <c r="I29" i="14"/>
  <c r="H29" i="14"/>
  <c r="I28" i="14"/>
  <c r="H28" i="14"/>
  <c r="I27" i="14"/>
  <c r="H27" i="14"/>
  <c r="I26" i="14"/>
  <c r="H26" i="14"/>
  <c r="I25" i="14"/>
  <c r="H25" i="14"/>
  <c r="I24" i="14"/>
  <c r="H24" i="14"/>
  <c r="I23" i="14"/>
  <c r="H23" i="14"/>
  <c r="I22" i="14"/>
  <c r="H22" i="14"/>
  <c r="I21" i="14"/>
  <c r="H21" i="14"/>
  <c r="I20" i="14"/>
  <c r="H20" i="14"/>
  <c r="I19" i="14"/>
  <c r="H19" i="14"/>
  <c r="I18" i="14"/>
  <c r="H18" i="14"/>
  <c r="I17" i="14"/>
  <c r="H17" i="14"/>
  <c r="I16" i="14"/>
  <c r="H16" i="14"/>
  <c r="I15" i="14"/>
  <c r="H15" i="14"/>
  <c r="I14" i="14"/>
  <c r="H14" i="14"/>
  <c r="I13" i="14"/>
  <c r="H13" i="14"/>
  <c r="I12" i="14"/>
  <c r="H12" i="14"/>
  <c r="I11" i="14"/>
  <c r="H11" i="14"/>
  <c r="I10" i="14"/>
  <c r="I6" i="14"/>
  <c r="I7" i="14"/>
  <c r="I8" i="14"/>
  <c r="I9" i="14"/>
  <c r="P10" i="14"/>
  <c r="P5" i="14"/>
  <c r="P4" i="14"/>
  <c r="G36" i="13"/>
  <c r="F36" i="13"/>
  <c r="P7" i="13"/>
  <c r="I35" i="13"/>
  <c r="H35" i="13"/>
  <c r="I34" i="13"/>
  <c r="H34" i="13"/>
  <c r="I33" i="13"/>
  <c r="H33" i="13"/>
  <c r="I32" i="13"/>
  <c r="H32" i="13"/>
  <c r="I31" i="13"/>
  <c r="H31" i="13"/>
  <c r="I30" i="13"/>
  <c r="H30" i="13"/>
  <c r="I29" i="13"/>
  <c r="H29" i="13"/>
  <c r="I28" i="13"/>
  <c r="H28" i="13"/>
  <c r="I27" i="13"/>
  <c r="H27" i="13"/>
  <c r="I26" i="13"/>
  <c r="H26" i="13"/>
  <c r="I25" i="13"/>
  <c r="H25" i="13"/>
  <c r="I24" i="13"/>
  <c r="H24" i="13"/>
  <c r="I23" i="13"/>
  <c r="H23" i="13"/>
  <c r="I22" i="13"/>
  <c r="H22" i="13"/>
  <c r="I21" i="13"/>
  <c r="I20" i="13"/>
  <c r="H20" i="13"/>
  <c r="I19" i="13"/>
  <c r="H19" i="13"/>
  <c r="I18" i="13"/>
  <c r="H18" i="13"/>
  <c r="I17" i="13"/>
  <c r="H17" i="13"/>
  <c r="I16" i="13"/>
  <c r="H16" i="13"/>
  <c r="I15" i="13"/>
  <c r="H15" i="13"/>
  <c r="I14" i="13"/>
  <c r="H14" i="13"/>
  <c r="I13" i="13"/>
  <c r="H13" i="13"/>
  <c r="I12" i="13"/>
  <c r="H12" i="13"/>
  <c r="I11" i="13"/>
  <c r="H11" i="13"/>
  <c r="I10" i="13"/>
  <c r="H10" i="13"/>
  <c r="I9" i="13"/>
  <c r="H9" i="13"/>
  <c r="H6" i="13"/>
  <c r="H8" i="13"/>
  <c r="I8" i="13"/>
  <c r="I7" i="13"/>
  <c r="I6" i="13"/>
  <c r="P10" i="13"/>
  <c r="P5" i="13"/>
  <c r="P4" i="13"/>
  <c r="G37" i="12"/>
  <c r="F37" i="12"/>
  <c r="P7" i="12"/>
  <c r="I36" i="12"/>
  <c r="H36" i="12"/>
  <c r="I35" i="12"/>
  <c r="H35" i="12"/>
  <c r="I34" i="12"/>
  <c r="H34" i="12"/>
  <c r="I33" i="12"/>
  <c r="H33" i="12"/>
  <c r="I32" i="12"/>
  <c r="H32" i="12"/>
  <c r="I31" i="12"/>
  <c r="H31" i="12"/>
  <c r="I30" i="12"/>
  <c r="H30" i="12"/>
  <c r="I29" i="12"/>
  <c r="H29" i="12"/>
  <c r="I28" i="12"/>
  <c r="H28" i="12"/>
  <c r="I27" i="12"/>
  <c r="H27" i="12"/>
  <c r="I26" i="12"/>
  <c r="H26" i="12"/>
  <c r="I25" i="12"/>
  <c r="H25" i="12"/>
  <c r="I24" i="12"/>
  <c r="H24" i="12"/>
  <c r="I23" i="12"/>
  <c r="H23" i="12"/>
  <c r="I22" i="12"/>
  <c r="H22" i="12"/>
  <c r="I21" i="12"/>
  <c r="H21" i="12"/>
  <c r="I20" i="12"/>
  <c r="H20" i="12"/>
  <c r="I19" i="12"/>
  <c r="H19" i="12"/>
  <c r="I18" i="12"/>
  <c r="H18" i="12"/>
  <c r="I17" i="12"/>
  <c r="H17" i="12"/>
  <c r="I16" i="12"/>
  <c r="H16" i="12"/>
  <c r="I15" i="12"/>
  <c r="H15" i="12"/>
  <c r="I14" i="12"/>
  <c r="H14" i="12"/>
  <c r="I13" i="12"/>
  <c r="H13" i="12"/>
  <c r="I12" i="12"/>
  <c r="H12" i="12"/>
  <c r="I11" i="12"/>
  <c r="H11" i="12"/>
  <c r="I10" i="12"/>
  <c r="H10" i="12"/>
  <c r="H6" i="12"/>
  <c r="H8" i="12"/>
  <c r="H9" i="12"/>
  <c r="I9" i="12"/>
  <c r="I6" i="12"/>
  <c r="I7" i="12"/>
  <c r="I8" i="12"/>
  <c r="P10" i="12"/>
  <c r="P5" i="12"/>
  <c r="P4" i="12"/>
  <c r="G36" i="11"/>
  <c r="F36" i="11"/>
  <c r="I35" i="11"/>
  <c r="H35" i="11"/>
  <c r="I34" i="11"/>
  <c r="H34" i="11"/>
  <c r="I33" i="11"/>
  <c r="H33" i="11"/>
  <c r="I32" i="11"/>
  <c r="H32" i="11"/>
  <c r="I31" i="11"/>
  <c r="H31" i="11"/>
  <c r="I30" i="11"/>
  <c r="H30" i="11"/>
  <c r="I29" i="11"/>
  <c r="H29" i="11"/>
  <c r="I28" i="11"/>
  <c r="H28" i="11"/>
  <c r="I27" i="11"/>
  <c r="H27" i="11"/>
  <c r="I26" i="11"/>
  <c r="H26" i="11"/>
  <c r="I25" i="11"/>
  <c r="H25" i="11"/>
  <c r="I24" i="11"/>
  <c r="H24" i="11"/>
  <c r="I23" i="11"/>
  <c r="H23" i="11"/>
  <c r="I22" i="11"/>
  <c r="H22" i="11"/>
  <c r="I21" i="11"/>
  <c r="H21" i="11"/>
  <c r="I20" i="11"/>
  <c r="H20" i="11"/>
  <c r="I19" i="11"/>
  <c r="H19" i="11"/>
  <c r="I18" i="11"/>
  <c r="H18" i="11"/>
  <c r="I17" i="11"/>
  <c r="H17" i="11"/>
  <c r="I16" i="11"/>
  <c r="H16" i="11"/>
  <c r="I15" i="11"/>
  <c r="H15" i="11"/>
  <c r="I14" i="11"/>
  <c r="H14" i="11"/>
  <c r="I13" i="11"/>
  <c r="H13" i="11"/>
  <c r="I12" i="11"/>
  <c r="H12" i="11"/>
  <c r="I11" i="11"/>
  <c r="H11" i="11"/>
  <c r="I10" i="11"/>
  <c r="H10" i="11"/>
  <c r="I9" i="11"/>
  <c r="I6" i="11"/>
  <c r="I7" i="11"/>
  <c r="I8" i="11"/>
  <c r="P10" i="11"/>
  <c r="H9" i="11"/>
  <c r="H6" i="11"/>
  <c r="H8" i="11"/>
  <c r="P9" i="11"/>
  <c r="P11" i="11"/>
  <c r="P7" i="11"/>
  <c r="P5" i="11"/>
  <c r="P4" i="11"/>
  <c r="G37" i="10"/>
  <c r="F37" i="10"/>
  <c r="P7" i="10"/>
  <c r="I36" i="10"/>
  <c r="H36" i="10"/>
  <c r="I35" i="10"/>
  <c r="H35" i="10"/>
  <c r="I34" i="10"/>
  <c r="H34" i="10"/>
  <c r="I33" i="10"/>
  <c r="H33" i="10"/>
  <c r="I32" i="10"/>
  <c r="H32" i="10"/>
  <c r="I31" i="10"/>
  <c r="H31" i="10"/>
  <c r="I30" i="10"/>
  <c r="H30" i="10"/>
  <c r="I29" i="10"/>
  <c r="H29" i="10"/>
  <c r="I28" i="10"/>
  <c r="H28" i="10"/>
  <c r="I27" i="10"/>
  <c r="H27" i="10"/>
  <c r="I26" i="10"/>
  <c r="H26" i="10"/>
  <c r="I25" i="10"/>
  <c r="H25" i="10"/>
  <c r="I24" i="10"/>
  <c r="H24" i="10"/>
  <c r="I23" i="10"/>
  <c r="H23" i="10"/>
  <c r="I22" i="10"/>
  <c r="H22" i="10"/>
  <c r="I21" i="10"/>
  <c r="H21" i="10"/>
  <c r="I20" i="10"/>
  <c r="H20" i="10"/>
  <c r="I19" i="10"/>
  <c r="H19" i="10"/>
  <c r="I18" i="10"/>
  <c r="H18" i="10"/>
  <c r="I17" i="10"/>
  <c r="H17" i="10"/>
  <c r="I16" i="10"/>
  <c r="H16" i="10"/>
  <c r="I15" i="10"/>
  <c r="H15" i="10"/>
  <c r="I14" i="10"/>
  <c r="H14" i="10"/>
  <c r="H6" i="10"/>
  <c r="H8" i="10"/>
  <c r="H9" i="10"/>
  <c r="H10" i="10"/>
  <c r="H11" i="10"/>
  <c r="H12" i="10"/>
  <c r="H13" i="10"/>
  <c r="I13" i="10"/>
  <c r="I12" i="10"/>
  <c r="I11" i="10"/>
  <c r="I10" i="10"/>
  <c r="I9" i="10"/>
  <c r="I8" i="10"/>
  <c r="I7" i="10"/>
  <c r="I6" i="10"/>
  <c r="P10" i="10"/>
  <c r="P5" i="10"/>
  <c r="P4" i="10"/>
  <c r="G37" i="9"/>
  <c r="F37" i="9"/>
  <c r="I36" i="9"/>
  <c r="H36" i="9"/>
  <c r="I35" i="9"/>
  <c r="H35" i="9"/>
  <c r="I34" i="9"/>
  <c r="H34" i="9"/>
  <c r="I33" i="9"/>
  <c r="H33" i="9"/>
  <c r="I32" i="9"/>
  <c r="H32" i="9"/>
  <c r="I31" i="9"/>
  <c r="H31" i="9"/>
  <c r="I30" i="9"/>
  <c r="H30" i="9"/>
  <c r="I29" i="9"/>
  <c r="H29" i="9"/>
  <c r="I28" i="9"/>
  <c r="H28" i="9"/>
  <c r="I27" i="9"/>
  <c r="H27" i="9"/>
  <c r="I26" i="9"/>
  <c r="H26" i="9"/>
  <c r="I25" i="9"/>
  <c r="H25" i="9"/>
  <c r="I24" i="9"/>
  <c r="H24" i="9"/>
  <c r="I23" i="9"/>
  <c r="H23" i="9"/>
  <c r="I22" i="9"/>
  <c r="H22" i="9"/>
  <c r="I21" i="9"/>
  <c r="H21" i="9"/>
  <c r="I20" i="9"/>
  <c r="H20" i="9"/>
  <c r="I19" i="9"/>
  <c r="H19" i="9"/>
  <c r="I18" i="9"/>
  <c r="H18" i="9"/>
  <c r="I17" i="9"/>
  <c r="H17" i="9"/>
  <c r="I16" i="9"/>
  <c r="H16" i="9"/>
  <c r="I15" i="9"/>
  <c r="H15" i="9"/>
  <c r="I14" i="9"/>
  <c r="H14" i="9"/>
  <c r="I13" i="9"/>
  <c r="H13" i="9"/>
  <c r="I12" i="9"/>
  <c r="H12" i="9"/>
  <c r="I11" i="9"/>
  <c r="H11" i="9"/>
  <c r="I10" i="9"/>
  <c r="H10" i="9"/>
  <c r="H6" i="9"/>
  <c r="H8" i="9"/>
  <c r="H9" i="9"/>
  <c r="I6" i="9"/>
  <c r="I7" i="9"/>
  <c r="I8" i="9"/>
  <c r="I9" i="9"/>
  <c r="P10" i="9"/>
  <c r="P5" i="9"/>
  <c r="P4" i="9"/>
  <c r="G36" i="8"/>
  <c r="F36" i="8"/>
  <c r="P7" i="8"/>
  <c r="I35" i="8"/>
  <c r="H35" i="8"/>
  <c r="I34" i="8"/>
  <c r="H34" i="8"/>
  <c r="I33" i="8"/>
  <c r="H33" i="8"/>
  <c r="I32" i="8"/>
  <c r="H32" i="8"/>
  <c r="I31" i="8"/>
  <c r="H31" i="8"/>
  <c r="I30" i="8"/>
  <c r="H30" i="8"/>
  <c r="I29" i="8"/>
  <c r="H29" i="8"/>
  <c r="I28" i="8"/>
  <c r="H28" i="8"/>
  <c r="I27" i="8"/>
  <c r="H27" i="8"/>
  <c r="I26" i="8"/>
  <c r="H26" i="8"/>
  <c r="I25" i="8"/>
  <c r="H25" i="8"/>
  <c r="I24" i="8"/>
  <c r="H24" i="8"/>
  <c r="I23" i="8"/>
  <c r="H23" i="8"/>
  <c r="I22" i="8"/>
  <c r="H22" i="8"/>
  <c r="I21" i="8"/>
  <c r="H21" i="8"/>
  <c r="I20" i="8"/>
  <c r="H20" i="8"/>
  <c r="I19" i="8"/>
  <c r="H19" i="8"/>
  <c r="I18" i="8"/>
  <c r="H18" i="8"/>
  <c r="I17" i="8"/>
  <c r="H17" i="8"/>
  <c r="I16" i="8"/>
  <c r="H16" i="8"/>
  <c r="I15" i="8"/>
  <c r="H15" i="8"/>
  <c r="I14" i="8"/>
  <c r="H14" i="8"/>
  <c r="I13" i="8"/>
  <c r="H13" i="8"/>
  <c r="I12" i="8"/>
  <c r="H12" i="8"/>
  <c r="I11" i="8"/>
  <c r="H11" i="8"/>
  <c r="I10" i="8"/>
  <c r="H10" i="8"/>
  <c r="I9" i="8"/>
  <c r="H9" i="8"/>
  <c r="H6" i="8"/>
  <c r="H8" i="8"/>
  <c r="I8" i="8"/>
  <c r="I7" i="8"/>
  <c r="I6" i="8"/>
  <c r="P10" i="8"/>
  <c r="P5" i="8"/>
  <c r="P4" i="8"/>
  <c r="G37" i="7"/>
  <c r="F37" i="7"/>
  <c r="P7" i="7"/>
  <c r="I36" i="7"/>
  <c r="H36" i="7"/>
  <c r="I35" i="7"/>
  <c r="H35" i="7"/>
  <c r="I34" i="7"/>
  <c r="H34" i="7"/>
  <c r="I33" i="7"/>
  <c r="H33" i="7"/>
  <c r="I32" i="7"/>
  <c r="H32" i="7"/>
  <c r="I31" i="7"/>
  <c r="H31" i="7"/>
  <c r="I30" i="7"/>
  <c r="H30" i="7"/>
  <c r="I29" i="7"/>
  <c r="H29" i="7"/>
  <c r="I28" i="7"/>
  <c r="H28" i="7"/>
  <c r="I27" i="7"/>
  <c r="H27" i="7"/>
  <c r="I26" i="7"/>
  <c r="H26" i="7"/>
  <c r="I25" i="7"/>
  <c r="H25" i="7"/>
  <c r="I24" i="7"/>
  <c r="H24" i="7"/>
  <c r="I23" i="7"/>
  <c r="H23" i="7"/>
  <c r="I22" i="7"/>
  <c r="H22" i="7"/>
  <c r="I21" i="7"/>
  <c r="H21" i="7"/>
  <c r="I20" i="7"/>
  <c r="H20" i="7"/>
  <c r="I19" i="7"/>
  <c r="H19" i="7"/>
  <c r="I18" i="7"/>
  <c r="H18" i="7"/>
  <c r="I17" i="7"/>
  <c r="H17" i="7"/>
  <c r="I16" i="7"/>
  <c r="H16" i="7"/>
  <c r="I15" i="7"/>
  <c r="H15" i="7"/>
  <c r="I14" i="7"/>
  <c r="H14" i="7"/>
  <c r="I13" i="7"/>
  <c r="H13" i="7"/>
  <c r="I12" i="7"/>
  <c r="H12" i="7"/>
  <c r="I11" i="7"/>
  <c r="H11" i="7"/>
  <c r="I10" i="7"/>
  <c r="I6" i="7"/>
  <c r="I7" i="7"/>
  <c r="I8" i="7"/>
  <c r="I9" i="7"/>
  <c r="P10" i="7"/>
  <c r="H10" i="7"/>
  <c r="H6" i="7"/>
  <c r="H8" i="7"/>
  <c r="H9" i="7"/>
  <c r="P5" i="7"/>
  <c r="P4" i="7"/>
  <c r="G36" i="6"/>
  <c r="F36" i="6"/>
  <c r="P7" i="6"/>
  <c r="I35" i="6"/>
  <c r="H35" i="6"/>
  <c r="I34" i="6"/>
  <c r="H34" i="6"/>
  <c r="I33" i="6"/>
  <c r="H33" i="6"/>
  <c r="I32" i="6"/>
  <c r="H32" i="6"/>
  <c r="I31" i="6"/>
  <c r="H31" i="6"/>
  <c r="I30" i="6"/>
  <c r="H30" i="6"/>
  <c r="I29" i="6"/>
  <c r="H29" i="6"/>
  <c r="I28" i="6"/>
  <c r="H28" i="6"/>
  <c r="I27" i="6"/>
  <c r="H27" i="6"/>
  <c r="I26" i="6"/>
  <c r="H26" i="6"/>
  <c r="I25" i="6"/>
  <c r="H25" i="6"/>
  <c r="I24" i="6"/>
  <c r="H24" i="6"/>
  <c r="H6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P9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P10" i="6"/>
  <c r="P11" i="6"/>
  <c r="P5" i="6"/>
  <c r="P4" i="6"/>
  <c r="G35" i="4"/>
  <c r="F35" i="4"/>
  <c r="P7" i="4"/>
  <c r="G37" i="5"/>
  <c r="F37" i="5"/>
  <c r="P7" i="5"/>
  <c r="I36" i="5"/>
  <c r="H36" i="5"/>
  <c r="I35" i="5"/>
  <c r="H35" i="5"/>
  <c r="I34" i="5"/>
  <c r="H34" i="5"/>
  <c r="I33" i="5"/>
  <c r="H33" i="5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H6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P10" i="5"/>
  <c r="P5" i="5"/>
  <c r="P4" i="5"/>
  <c r="P8" i="5"/>
  <c r="H6" i="4"/>
  <c r="I6" i="4"/>
  <c r="I7" i="4"/>
  <c r="H8" i="4"/>
  <c r="I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P9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P10" i="4"/>
  <c r="P11" i="4"/>
  <c r="P5" i="4"/>
  <c r="P4" i="4"/>
  <c r="G37" i="3"/>
  <c r="F37" i="3"/>
  <c r="P7" i="3"/>
  <c r="I36" i="3"/>
  <c r="H36" i="3"/>
  <c r="I35" i="3"/>
  <c r="H35" i="3"/>
  <c r="I34" i="3"/>
  <c r="H34" i="3"/>
  <c r="H6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P9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P10" i="3"/>
  <c r="P11" i="3"/>
  <c r="P5" i="3"/>
  <c r="P4" i="3"/>
  <c r="P8" i="3"/>
  <c r="P12" i="3"/>
  <c r="G37" i="2"/>
  <c r="F37" i="2"/>
  <c r="P7" i="2"/>
  <c r="P5" i="2"/>
  <c r="P4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I6" i="2"/>
  <c r="H6" i="2"/>
  <c r="F36" i="1"/>
  <c r="H35" i="1"/>
  <c r="I6" i="1"/>
  <c r="I8" i="1"/>
  <c r="I7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6" i="1"/>
  <c r="L11" i="1"/>
  <c r="L10" i="1" a="1"/>
  <c r="L10" i="1"/>
  <c r="L6" i="1"/>
  <c r="L7" i="1"/>
  <c r="P10" i="2"/>
  <c r="P9" i="2"/>
  <c r="P11" i="2"/>
  <c r="P8" i="2"/>
  <c r="I35" i="1"/>
  <c r="G36" i="1"/>
  <c r="L9" i="1"/>
  <c r="L12" i="1"/>
  <c r="L13" i="1"/>
  <c r="L14" i="1"/>
  <c r="P12" i="2"/>
  <c r="P8" i="4"/>
  <c r="P12" i="4"/>
  <c r="P9" i="5"/>
  <c r="P11" i="5"/>
  <c r="P12" i="5"/>
  <c r="P9" i="10"/>
  <c r="P11" i="10"/>
  <c r="P9" i="9"/>
  <c r="P11" i="9"/>
  <c r="P8" i="9"/>
  <c r="P7" i="9"/>
  <c r="P9" i="8"/>
  <c r="P11" i="8"/>
  <c r="P8" i="8"/>
  <c r="P9" i="7"/>
  <c r="P11" i="7"/>
  <c r="P8" i="7"/>
  <c r="P8" i="6"/>
  <c r="P12" i="6"/>
  <c r="P12" i="9"/>
  <c r="P12" i="8"/>
  <c r="P12" i="7"/>
  <c r="P9" i="13"/>
  <c r="P11" i="13"/>
  <c r="P8" i="13"/>
  <c r="P9" i="12"/>
  <c r="P11" i="12"/>
  <c r="P8" i="12"/>
  <c r="P8" i="11"/>
  <c r="P12" i="11"/>
  <c r="P8" i="10"/>
  <c r="P12" i="10"/>
  <c r="P12" i="13"/>
  <c r="P12" i="12"/>
  <c r="P9" i="14"/>
  <c r="P11" i="14"/>
  <c r="P8" i="14"/>
  <c r="P12" i="14"/>
  <c r="P9" i="24" l="1"/>
  <c r="P11" i="24" s="1"/>
  <c r="P12" i="24" s="1"/>
  <c r="G43" i="3"/>
</calcChain>
</file>

<file path=xl/comments1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2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3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4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5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6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7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8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9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10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11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12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13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14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15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16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17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18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19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20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21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22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23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24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<sst xmlns="http://schemas.openxmlformats.org/spreadsheetml/2006/main" count="1829" uniqueCount="369">
  <si>
    <t>PLANILHA FINANCEIRA</t>
  </si>
  <si>
    <t>NOVEMBRO 2023</t>
  </si>
  <si>
    <t>DATA:</t>
  </si>
  <si>
    <t>SERVIÇO:</t>
  </si>
  <si>
    <t>GANHOS:</t>
  </si>
  <si>
    <t>DESPESAS:</t>
  </si>
  <si>
    <t>GASTOS DAS DESPESAS:</t>
  </si>
  <si>
    <t>QUILOMETRAGEM R$0,85:</t>
  </si>
  <si>
    <t>QUILOMETRAGEM R$0,90:</t>
  </si>
  <si>
    <t>QUILOMETRAGEM EM DINHEIRO(0,85)</t>
  </si>
  <si>
    <t>QUILOMETRAGEM EM DINHEIRO (0,90)</t>
  </si>
  <si>
    <t>TOTAL</t>
  </si>
  <si>
    <t>NAO TRABALHADO</t>
  </si>
  <si>
    <t>NADA</t>
  </si>
  <si>
    <t>TOTAL GANHOS BRUTO:</t>
  </si>
  <si>
    <t>TOTAL DESPESA:</t>
  </si>
  <si>
    <t>TOTAL DE DIAS TRABALHADOS:</t>
  </si>
  <si>
    <t>QUILOMETRAGEM:</t>
  </si>
  <si>
    <t>TOTAL DESPESA/GANHOS(A RECEBER):</t>
  </si>
  <si>
    <t>VISITA</t>
  </si>
  <si>
    <t>PEDÁGIO</t>
  </si>
  <si>
    <t>QUILOMETRAGEM(R$0,85) EM DINHEIRO:</t>
  </si>
  <si>
    <t>QUILOMETRAGEM(R$0,90) EM DINHEIRO:</t>
  </si>
  <si>
    <t>INSTALAÇÃO</t>
  </si>
  <si>
    <t>TOTAL DE QUILOMETRAGEM:</t>
  </si>
  <si>
    <t xml:space="preserve">NADA </t>
  </si>
  <si>
    <t>TOTAL A RECEBER(QUILOMETRAGEM+DESPESA+SERVIÇO:</t>
  </si>
  <si>
    <t>MANUTENÇÃO SIMPLES</t>
  </si>
  <si>
    <t>2 RETIRADAS</t>
  </si>
  <si>
    <t>ViSITA</t>
  </si>
  <si>
    <t>SOCORRO FERIADO</t>
  </si>
  <si>
    <t>2 SOCORRO FIM DE SEMANA</t>
  </si>
  <si>
    <t xml:space="preserve">SOCORRO  </t>
  </si>
  <si>
    <t>MANUTENCAO TROCA DE KIT</t>
  </si>
  <si>
    <t>GASOLINA</t>
  </si>
  <si>
    <t>DEZEMBRO 2023</t>
  </si>
  <si>
    <t>2 VISITAS E 1 SOCORRO FINAL DE SEMANA</t>
  </si>
  <si>
    <t>MANUTENÇÃO TROCA DE KIT</t>
  </si>
  <si>
    <t>Blindagem</t>
  </si>
  <si>
    <t>INSTALACAO E UM SOCORRO</t>
  </si>
  <si>
    <t>2 INSTALAÇÕES</t>
  </si>
  <si>
    <t>MANUTENÇAO SIMPLES</t>
  </si>
  <si>
    <t>2 MANUTENÇÃO SIMPLES</t>
  </si>
  <si>
    <t>PEDAGIO</t>
  </si>
  <si>
    <t>1 RETIRADA e 1 SOCORRO</t>
  </si>
  <si>
    <t>1 INSTALAÇÃO</t>
  </si>
  <si>
    <t>JANEIRO 2024</t>
  </si>
  <si>
    <t>NÃO TRABALHADO</t>
  </si>
  <si>
    <t>1 RETIRADA</t>
  </si>
  <si>
    <t>INSTALAÇÃO + SOCORRO COM GUY</t>
  </si>
  <si>
    <t>TROCA DE KIT</t>
  </si>
  <si>
    <t>1 VISITA+1 RETIRADA</t>
  </si>
  <si>
    <t>1 VISITA + 1 TROCA DE KIT</t>
  </si>
  <si>
    <t>1 INSTALAÇÃO + 1 MANUTENÇÃO</t>
  </si>
  <si>
    <t>QUILOMETRAGEM TOTAL:</t>
  </si>
  <si>
    <t>FEVEREIRO 2024</t>
  </si>
  <si>
    <t>MARÇO 2024</t>
  </si>
  <si>
    <t>ABRIL 2024</t>
  </si>
  <si>
    <t>1 INSTALAÇÃO + 1 TROCA DE KIT</t>
  </si>
  <si>
    <t>NÃO TRABALHADO(BLINDAGEM)</t>
  </si>
  <si>
    <t>2 VISITAS</t>
  </si>
  <si>
    <t>1 TROCA DE KIT</t>
  </si>
  <si>
    <t>ASSISTÊNCIA SIMPLES (REVISÃO)</t>
  </si>
  <si>
    <t xml:space="preserve">2 Instalações </t>
  </si>
  <si>
    <t xml:space="preserve">Pedágio </t>
  </si>
  <si>
    <t>2 VISITAS(SOCORRO)+1 INSTALAÇÃO</t>
  </si>
  <si>
    <t xml:space="preserve">NÃO TRABALHADO </t>
  </si>
  <si>
    <t>TOTAL(QUILOMETRAGEM+DESPESA+SERVIÇO:</t>
  </si>
  <si>
    <t>MAIO 2024</t>
  </si>
  <si>
    <t>JUNHO 2024</t>
  </si>
  <si>
    <t>AGOSTO 2024</t>
  </si>
  <si>
    <t>JULHO 2024</t>
  </si>
  <si>
    <t>INSTALAÇ]ÃO</t>
  </si>
  <si>
    <t>1 Instalação e 1 visita</t>
  </si>
  <si>
    <t>1 INSTALAÇÃO E 1 TROCA DE KIT</t>
  </si>
  <si>
    <t>1 INSTALAÇÃO/1 visita/1 carsytem</t>
  </si>
  <si>
    <t>BLINDAGEM</t>
  </si>
  <si>
    <t>SETEMBRO 2024</t>
  </si>
  <si>
    <t>OUTUBRO 2024</t>
  </si>
  <si>
    <t>DEZEMBRO 2024</t>
  </si>
  <si>
    <t>NOVEMBRO 2024</t>
  </si>
  <si>
    <t>2 INSTALAÇOES</t>
  </si>
  <si>
    <t xml:space="preserve">1 INTALAÇAO/1 VISITA </t>
  </si>
  <si>
    <t>2 MANUTENÇÕES SIMPLES/1 SOCORRO</t>
  </si>
  <si>
    <t>1 INSTALAÇÃO E 1 MANUTENÇÃO SIMPLES</t>
  </si>
  <si>
    <t>1 SOCORRO</t>
  </si>
  <si>
    <t>1 INSTALAÇÃO E 1 INSTALAÇÃO TX</t>
  </si>
  <si>
    <t>2 VISITAS (IMPRODUTIVA)</t>
  </si>
  <si>
    <t>1 VISITA/1 MANUTENÇAO SIMPLES</t>
  </si>
  <si>
    <t>1 TROCA DE KIT E 1 VISITA</t>
  </si>
  <si>
    <t>1 INSTALACAO TX</t>
  </si>
  <si>
    <t>1 TROCA DE KIT E 1 VISITA 1 INSTALAÇÃO TX</t>
  </si>
  <si>
    <t>1 TROCA DE KIT E 1 VISITA 1 MANUTENÇÃO</t>
  </si>
  <si>
    <t>2 DESINSTALACAO</t>
  </si>
  <si>
    <t xml:space="preserve">1 VISITA </t>
  </si>
  <si>
    <t>1 VISITA E 1 MANUTENÇAO SIMPLES</t>
  </si>
  <si>
    <t>2 TROCAS DE KIT</t>
  </si>
  <si>
    <t>1 INSTALAÇÃO E 1 VISITA</t>
  </si>
  <si>
    <t>1 INSTALAÇAO</t>
  </si>
  <si>
    <t>1 DESINSTALAÇAO</t>
  </si>
  <si>
    <t>1 INSTALAÇAO/ 1 visita</t>
  </si>
  <si>
    <t>1 VISITA /1 DESINSTALACAO</t>
  </si>
  <si>
    <t>1 MANUTENÇÃO SIMPLES</t>
  </si>
  <si>
    <t>1 INSTALAÇAO/1 MANUTENÇAO SIMPLES</t>
  </si>
  <si>
    <t>1 INSTALAÇAO 1 VISITA</t>
  </si>
  <si>
    <t>improdutiva</t>
  </si>
  <si>
    <t>1 MANUTENÇÃO SIMPLES/RETIRADA</t>
  </si>
  <si>
    <t>NADA\</t>
  </si>
  <si>
    <t>1 troca de kit  1 VISITA</t>
  </si>
  <si>
    <t>1 retirada/troca de kit</t>
  </si>
  <si>
    <t>1 MANUTENÇAO/1 INSTALAÇAO</t>
  </si>
  <si>
    <t>1 manutençao simples</t>
  </si>
  <si>
    <t>gasolina</t>
  </si>
  <si>
    <t xml:space="preserve">1 troca de kit </t>
  </si>
  <si>
    <t>2 IMPRODUTIVA/1 MANUTENCAO</t>
  </si>
  <si>
    <t>1 instalaçao e 1 troca de kit mesma OS</t>
  </si>
  <si>
    <t>1 instalaçao</t>
  </si>
  <si>
    <t>1 INSTALAÇAO E 4 IMPRODUTIVA</t>
  </si>
  <si>
    <t>1 MANUTENÇAO SIMPLES E 1 INSTALACAO</t>
  </si>
  <si>
    <t>1 TROCA DE KIT/IMPRODUTIVA/RETIRADA</t>
  </si>
  <si>
    <t>1 IMPRODUTIVA</t>
  </si>
  <si>
    <t>2 MANUTENÇAO</t>
  </si>
  <si>
    <t>1 RETIRADA/1 IMPRODUTIVA</t>
  </si>
  <si>
    <t>1 MANUTENÇAO SIMPLES E 2 improdutiva</t>
  </si>
  <si>
    <t>2 MANUTENÇAO/1 improdutiva</t>
  </si>
  <si>
    <t>1 INSTALAÇAO E 1 RETIRADA</t>
  </si>
  <si>
    <t>1 INSTALAÇAO/1 IMPRODUTIVA E 1 RETIRADA</t>
  </si>
  <si>
    <t>2 MANUTENCAO(1 na mesma os de ontem)</t>
  </si>
  <si>
    <t>1 DESINSTALAÇAO/1 IMPRODUTIVA</t>
  </si>
  <si>
    <t>IMPRODUTIVA</t>
  </si>
  <si>
    <t>1 TROCA DE KIT E 1 MANUTENÇAO</t>
  </si>
  <si>
    <t>1 manutençao 1 troca de kit</t>
  </si>
  <si>
    <t>nada</t>
  </si>
  <si>
    <t>2 IMPRODUTIVAS 4 ASSISTENCIAS</t>
  </si>
  <si>
    <t>1 RETIRADA E 2 IMPRODUTIVAS</t>
  </si>
  <si>
    <t>3 IMPRODUTIVAS/2 TROCA DE KIT</t>
  </si>
  <si>
    <t>1 MANUTENÇAO/1 TROCA DE KIT</t>
  </si>
  <si>
    <t>RETIRADA CARSYSTEM</t>
  </si>
  <si>
    <t>1 INSTALAÇAO / 1 IMPRODUTIVA</t>
  </si>
  <si>
    <t xml:space="preserve">2 INSTALACOES </t>
  </si>
  <si>
    <t>4 revisoes</t>
  </si>
  <si>
    <t>1 MANUTENÇAO OS 109426/1 INSTALAÇAO JCAR</t>
  </si>
  <si>
    <t>MANUTENÇAO</t>
  </si>
  <si>
    <t>2 IMPRODUTIVAS/TROCA DE KIT</t>
  </si>
  <si>
    <t xml:space="preserve">2 IMPRODUTIVAS </t>
  </si>
  <si>
    <t>=</t>
  </si>
  <si>
    <t>2 manutencao</t>
  </si>
  <si>
    <t>2 improdutivas</t>
  </si>
  <si>
    <t>1 assistencia</t>
  </si>
  <si>
    <t>1 improdutiva</t>
  </si>
  <si>
    <t>1 TROCA DE KIT E 1 SOCORRO</t>
  </si>
  <si>
    <t>2 instalaçóes</t>
  </si>
  <si>
    <t>1 INSTALACAO/1 IMPRODUTIVA/1 INSTALACAO CARSYSTEM/1 RETIRADA CARSYSTEM</t>
  </si>
  <si>
    <t>1 assistencia/1 TROCA DE KIT</t>
  </si>
  <si>
    <t xml:space="preserve">1 instalacao  </t>
  </si>
  <si>
    <t>1 INSTALAÇAO E 1 IMPRODUTIVA</t>
  </si>
  <si>
    <t>1  RETIRADA E 1 INSTALACAO</t>
  </si>
  <si>
    <t xml:space="preserve">1 TROCA DE KIT  </t>
  </si>
  <si>
    <t>2 ASSISTENCIAS</t>
  </si>
  <si>
    <t>2 IMPRODUTIVAS</t>
  </si>
  <si>
    <t>1 INSTALAÇAO E 1 MANUTENCAO</t>
  </si>
  <si>
    <t>1 manutençao/1 troca de kit</t>
  </si>
  <si>
    <t>1 INSTALACAO E 1 ASSISTENCIA</t>
  </si>
  <si>
    <t>não trabalhado</t>
  </si>
  <si>
    <t>1 TROCA DE KIT E 1 ASSISTENCIA</t>
  </si>
  <si>
    <t>1 retirada/1 instalacao</t>
  </si>
  <si>
    <t xml:space="preserve">1 TROCA DE KIT </t>
  </si>
  <si>
    <t>GASOLINA paga</t>
  </si>
  <si>
    <t>1 troca de kit e 1 retirada</t>
  </si>
  <si>
    <t>1 improdutiva/2 assistencias</t>
  </si>
  <si>
    <t>1 retirada</t>
  </si>
  <si>
    <t>1 troca de kit</t>
  </si>
  <si>
    <t>1 instalacao / 1 improdutiva</t>
  </si>
  <si>
    <t>2 IMPRODUTIVA</t>
  </si>
  <si>
    <t>3 IMPRODUTIVAS/1 MANUTENCAO</t>
  </si>
  <si>
    <t>1 improdutiva/1 instalacao</t>
  </si>
  <si>
    <t>gasolina paga</t>
  </si>
  <si>
    <t>1 retirada/1 instalaçao</t>
  </si>
  <si>
    <t>2 improduivas</t>
  </si>
  <si>
    <t xml:space="preserve">Gasolina   </t>
  </si>
  <si>
    <t>Gasolina</t>
  </si>
  <si>
    <t>1 assistencia/1 retirada/1 improdutiva</t>
  </si>
  <si>
    <t>1 improdutivo</t>
  </si>
  <si>
    <t>1 instalacao e 1 assistencia</t>
  </si>
  <si>
    <t>1 troca de kit e 1 improdutiva</t>
  </si>
  <si>
    <t>1 manutencao e 1 improdutiva</t>
  </si>
  <si>
    <t xml:space="preserve">1 manutencao   </t>
  </si>
  <si>
    <t>2 instalaçoes</t>
  </si>
  <si>
    <t xml:space="preserve">1 instalacao </t>
  </si>
  <si>
    <t>1 troca de kit e 1 instalaçao</t>
  </si>
  <si>
    <t>1 instalaçao/1 improdutiva/busca equip</t>
  </si>
  <si>
    <t xml:space="preserve">1 INSTALAÇÃO </t>
  </si>
  <si>
    <t>não trabalhado(pago)</t>
  </si>
  <si>
    <t>1 instalacao e 1 improdutiva(pago)</t>
  </si>
  <si>
    <t>1 assistencia(pago)</t>
  </si>
  <si>
    <t xml:space="preserve">1 instalacao  (pago) </t>
  </si>
  <si>
    <t>1 INSTALAÇÃO (pago(</t>
  </si>
  <si>
    <t>nao trabalhado</t>
  </si>
  <si>
    <t>1 instalação  e 1 manutençao</t>
  </si>
  <si>
    <t>1 instalaçao/1 assistencia/1 improdutiva</t>
  </si>
  <si>
    <t>1 troca de kit/ 1 manutencao</t>
  </si>
  <si>
    <t>1 instalaçao/1 troca de kit</t>
  </si>
  <si>
    <t>2 reitaradas / 1 improdutiva</t>
  </si>
  <si>
    <t>1 instalacao/1 assistencia /improdutiva</t>
  </si>
  <si>
    <t>1 improdutiva e 1 instalacao</t>
  </si>
  <si>
    <t>1 instalacao 1 improdutiva</t>
  </si>
  <si>
    <t xml:space="preserve">não trabalhado </t>
  </si>
  <si>
    <t>1 instalacao</t>
  </si>
  <si>
    <t>1 manutencao/ 2 improdutivas</t>
  </si>
  <si>
    <t>1 retirada e 1 manutencaO</t>
  </si>
  <si>
    <t>Não trabalhado</t>
  </si>
  <si>
    <t>1 assistencia e 1 improdutiva</t>
  </si>
  <si>
    <t>gasoliona</t>
  </si>
  <si>
    <t>JANEIRO 2025</t>
  </si>
  <si>
    <t>2 instalacoes</t>
  </si>
  <si>
    <t>1 instalaçao e 1 improdutiva</t>
  </si>
  <si>
    <t>1 desinstalacao</t>
  </si>
  <si>
    <t>2 assistencias e 1 improdutiva</t>
  </si>
  <si>
    <t xml:space="preserve">2 assistencias   </t>
  </si>
  <si>
    <t>1 retirada1</t>
  </si>
  <si>
    <t>pedagio</t>
  </si>
  <si>
    <t xml:space="preserve">1 instalaçao </t>
  </si>
  <si>
    <t>1 manutencao</t>
  </si>
  <si>
    <t>1 improdutiva e 1 assistencia</t>
  </si>
  <si>
    <t>1 manutencao/2 improdutivas</t>
  </si>
  <si>
    <t>1 troca de kit/2 improdutiva/1 instalacao</t>
  </si>
  <si>
    <t>FEVEREIRO 2025</t>
  </si>
  <si>
    <t>1 instalacao/1 troca de kit</t>
  </si>
  <si>
    <t>1 desinstalaçao</t>
  </si>
  <si>
    <t>2 manutencoes/2 improdutivas</t>
  </si>
  <si>
    <t>1 instalaça/1 improdutiva</t>
  </si>
  <si>
    <t>pedagios</t>
  </si>
  <si>
    <t>1 improdutiva/1 retirada</t>
  </si>
  <si>
    <t xml:space="preserve">1 retirada </t>
  </si>
  <si>
    <t>1 improdutiva/1 assistencia</t>
  </si>
  <si>
    <t>2 improdutivas/1 manutençao</t>
  </si>
  <si>
    <t>1 manutencao/3 improdutivas</t>
  </si>
  <si>
    <t>1 instalaçao/1 manutencao</t>
  </si>
  <si>
    <t xml:space="preserve">2 manutencoes </t>
  </si>
  <si>
    <t>1 troca de kit/2 improdutivas</t>
  </si>
  <si>
    <t>1 instalaçao/1 improdutiva</t>
  </si>
  <si>
    <t>1 instalacao/1 improdutiva</t>
  </si>
  <si>
    <t>1 improduitiva</t>
  </si>
  <si>
    <t>2 manutencoes</t>
  </si>
  <si>
    <t>1 troca de kit/1 improdutiva</t>
  </si>
  <si>
    <t xml:space="preserve">2 improdutivas  </t>
  </si>
  <si>
    <t>1 ASSISTENCIA E 1 IMPRODUTIVA</t>
  </si>
  <si>
    <t>1 improdutiva/1 troca dekit</t>
  </si>
  <si>
    <t xml:space="preserve">1 ASSISTENCIA </t>
  </si>
  <si>
    <t>2 assistencias</t>
  </si>
  <si>
    <t>1 intalacao/1 improdutiva</t>
  </si>
  <si>
    <t>1 troca de kit e 3 improdutivas</t>
  </si>
  <si>
    <t>1 instalaçao e 1 troca de kit</t>
  </si>
  <si>
    <t>1 instalaçao e 1 retirada</t>
  </si>
  <si>
    <t>ABRIL 2025</t>
  </si>
  <si>
    <t>pago</t>
  </si>
  <si>
    <t xml:space="preserve">1 instalaçao  </t>
  </si>
  <si>
    <t>1 assistencia/3 improdutivas</t>
  </si>
  <si>
    <t>1 INSTALACAO E 1 IMPRODUTIVA</t>
  </si>
  <si>
    <t>4 improdutivas e 1 troca de kit</t>
  </si>
  <si>
    <t>MAIO 2025</t>
  </si>
  <si>
    <t>1 instalacao e 1 manutencao</t>
  </si>
  <si>
    <t>1 troca de kit e 2 improdutivas</t>
  </si>
  <si>
    <t>1 troca de kit 1 manutencao e 2 improdutivas</t>
  </si>
  <si>
    <t>2 IMPRODUTIVAS E 1 INSTALACAO</t>
  </si>
  <si>
    <t>1 manutençao</t>
  </si>
  <si>
    <t>4 improdutivas e 1 instalacao</t>
  </si>
  <si>
    <t>2 MANUTENCOES</t>
  </si>
  <si>
    <t>1 improdutiva e 1 retirada</t>
  </si>
  <si>
    <t>1 manutençao e 1 improdutiva</t>
  </si>
  <si>
    <t>1 manutencao e 3 improdutivas</t>
  </si>
  <si>
    <t xml:space="preserve">1 manutencao </t>
  </si>
  <si>
    <t>JUNHO 2025</t>
  </si>
  <si>
    <t xml:space="preserve">1 improdutiava </t>
  </si>
  <si>
    <t>1troca de kit/1 improdutiva/1 manutencao</t>
  </si>
  <si>
    <t>1 instalaçao/1 improdutiva/1 retirada</t>
  </si>
  <si>
    <t>1 instalacao e 1 improdutiva</t>
  </si>
  <si>
    <t>1 trocA DE KIT</t>
  </si>
  <si>
    <t>3 improdutivas e 1 instalaçao</t>
  </si>
  <si>
    <t xml:space="preserve">1 improdutiva </t>
  </si>
  <si>
    <t>3 desinstalaçoes</t>
  </si>
  <si>
    <t>2 improdutivas/1 instalacao</t>
  </si>
  <si>
    <t>gasolina e pedagio</t>
  </si>
  <si>
    <t>JULHO 2025</t>
  </si>
  <si>
    <t>3 improdutivas+2 assistencias</t>
  </si>
  <si>
    <t>1 assistencia e 1 instalacao</t>
  </si>
  <si>
    <t>2 improdutiva e 1 instalacao</t>
  </si>
  <si>
    <t>2 instalaçoes e 4 improdutivas</t>
  </si>
  <si>
    <t>1 instalaçao e 2 improdutivas</t>
  </si>
  <si>
    <t xml:space="preserve">1 instalacao e 2 improdutivas </t>
  </si>
  <si>
    <t>1 assistencia,1 desinstalaçao e 2 improdutivas</t>
  </si>
  <si>
    <t>AGOSTO 2025</t>
  </si>
  <si>
    <t>1 manutencao e 2 improdutivas</t>
  </si>
  <si>
    <t xml:space="preserve">1 trroca de kit </t>
  </si>
  <si>
    <t>1  retirada e 1 assistencias</t>
  </si>
  <si>
    <t>i assistencia</t>
  </si>
  <si>
    <t xml:space="preserve">1 assistencia e 1 troca de kit </t>
  </si>
  <si>
    <t>SETEMBRO 2025</t>
  </si>
  <si>
    <t>1 manutencao e 1 improdutiv</t>
  </si>
  <si>
    <t xml:space="preserve">1 Instalacao  </t>
  </si>
  <si>
    <t>1 IMPRODUTIVA E 1 MANUTENCAO</t>
  </si>
  <si>
    <t xml:space="preserve">1 socorro </t>
  </si>
  <si>
    <t xml:space="preserve">1 manutencao  </t>
  </si>
  <si>
    <t>3 improdutivas e 3 assistencias</t>
  </si>
  <si>
    <t>1 assistencia e 2 improdutivas</t>
  </si>
  <si>
    <t xml:space="preserve">pedagio </t>
  </si>
  <si>
    <t>3 improdutivas e 1 assistencia</t>
  </si>
  <si>
    <t>I DESINSTALAÇAO</t>
  </si>
  <si>
    <t>OUTUBRO 2025</t>
  </si>
  <si>
    <t>2 improdutivas 1 troca de kit e 1 retirada infleet</t>
  </si>
  <si>
    <t>1 instalacao 1 improdutiva e 1 assistencia</t>
  </si>
  <si>
    <t>4 upgrade 1 assistencia e 2 improdutivas</t>
  </si>
  <si>
    <t>2 instalaçoes e 1 improdutiva</t>
  </si>
  <si>
    <t>1 troca de kit e 1 manutencao</t>
  </si>
  <si>
    <t>1 instalacao e 2 improdutivas</t>
  </si>
  <si>
    <t>2 trocas de kit 1 manutencao e  1 improdutiva</t>
  </si>
  <si>
    <t>1 assistencia 1 instalacao e 1 improdutiva</t>
  </si>
  <si>
    <t>1 troca de kit 1 assistencia e 2 improdutivas</t>
  </si>
  <si>
    <t>1 instalacoes</t>
  </si>
  <si>
    <t xml:space="preserve">1 improdutiva 1 troca de kit </t>
  </si>
  <si>
    <t>PLACAS</t>
  </si>
  <si>
    <t>IMPRODUTIVAS</t>
  </si>
  <si>
    <t>JBL7B01</t>
  </si>
  <si>
    <t>LMY5G42</t>
  </si>
  <si>
    <t>LUN7H19/KZL8423</t>
  </si>
  <si>
    <t>RJQ9J36/SRB7H01/KNY4C25/SRT2E22/SRL5A58</t>
  </si>
  <si>
    <t>GBJ3725</t>
  </si>
  <si>
    <t>B436872/B436504</t>
  </si>
  <si>
    <t>EUM2B65/UFZ5E50</t>
  </si>
  <si>
    <t>TUO2A17/RDM1F16</t>
  </si>
  <si>
    <t>TUK2C83</t>
  </si>
  <si>
    <t>TUK2C83/TTQ4C99</t>
  </si>
  <si>
    <t>RHE4A26</t>
  </si>
  <si>
    <t>TBV6B87</t>
  </si>
  <si>
    <t>TBV5G33</t>
  </si>
  <si>
    <t>GFF2J54/ERA6J26/FBY6B12</t>
  </si>
  <si>
    <t>LUY8J99</t>
  </si>
  <si>
    <t>GYS6C52/TBV5E28</t>
  </si>
  <si>
    <t>RNH8C48/CUA9E52</t>
  </si>
  <si>
    <t>R009413/R009518</t>
  </si>
  <si>
    <t>FHV4B12</t>
  </si>
  <si>
    <t>LTM4284</t>
  </si>
  <si>
    <t>NOVEMBRO 2025</t>
  </si>
  <si>
    <t>1 DESINSTALACAO E 1 IMPRODUTIVA</t>
  </si>
  <si>
    <t>2 INSTALACOES</t>
  </si>
  <si>
    <t>2 INSTALACOES E 1 AJUDA TECNICA</t>
  </si>
  <si>
    <t>2 INSTALACOES E 1 IMPRODUTIVA</t>
  </si>
  <si>
    <t>1 instalaçao e 1 assistencia</t>
  </si>
  <si>
    <t>1 ASSISTENCIA</t>
  </si>
  <si>
    <t>1 INSTALACAO</t>
  </si>
  <si>
    <t>REGIAO</t>
  </si>
  <si>
    <t>ZONA OESTE</t>
  </si>
  <si>
    <t>ZONA NORTE</t>
  </si>
  <si>
    <t>ZONA SUL</t>
  </si>
  <si>
    <t>BAIXADA</t>
  </si>
  <si>
    <t>DESPESAS</t>
  </si>
  <si>
    <t>GANHOS</t>
  </si>
  <si>
    <t>SERVIÇO</t>
  </si>
  <si>
    <t>DATA</t>
  </si>
  <si>
    <t>QUILOMETRAGEM R$0,85</t>
  </si>
  <si>
    <t>QUILOMETRAGEM R$0,90</t>
  </si>
  <si>
    <t>DESINSTALAÇAO</t>
  </si>
  <si>
    <t xml:space="preserve">SOCORRO </t>
  </si>
  <si>
    <t>SOCORRO</t>
  </si>
  <si>
    <t xml:space="preserve"> TROCA DE KIT</t>
  </si>
  <si>
    <t>MANUTENCAO</t>
  </si>
  <si>
    <t>INSTALACAO</t>
  </si>
  <si>
    <t xml:space="preserve">MANUTENÇAO </t>
  </si>
  <si>
    <t xml:space="preserve">MANUTENÇÃO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</si>
</sst>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wrapText="1"/>
    </xf>
    <xf numFmtId="164" fontId="2" fillId="4" borderId="1" xfId="0" applyNumberFormat="1" applyFont="1" applyFill="1" applyBorder="1"/>
    <xf numFmtId="0" fontId="2" fillId="3" borderId="1" xfId="0" applyFont="1" applyFill="1" applyBorder="1"/>
    <xf numFmtId="14" fontId="2" fillId="7" borderId="1" xfId="0" applyNumberFormat="1" applyFont="1" applyFill="1" applyBorder="1"/>
    <xf numFmtId="14" fontId="2" fillId="8" borderId="1" xfId="0" applyNumberFormat="1" applyFont="1" applyFill="1" applyBorder="1"/>
    <xf numFmtId="0" fontId="2" fillId="6" borderId="1" xfId="0" applyFont="1" applyFill="1" applyBorder="1"/>
    <xf numFmtId="164" fontId="2" fillId="3" borderId="1" xfId="0" applyNumberFormat="1" applyFont="1" applyFill="1" applyBorder="1"/>
    <xf numFmtId="164" fontId="2" fillId="5" borderId="1" xfId="0" applyNumberFormat="1" applyFont="1" applyFill="1" applyBorder="1"/>
    <xf numFmtId="0" fontId="2" fillId="5" borderId="1" xfId="0" applyFont="1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0" fontId="2" fillId="8" borderId="1" xfId="0" applyFont="1" applyFill="1" applyBorder="1"/>
    <xf numFmtId="0" fontId="2" fillId="9" borderId="1" xfId="0" applyFont="1" applyFill="1" applyBorder="1"/>
    <xf numFmtId="2" fontId="2" fillId="9" borderId="1" xfId="0" applyNumberFormat="1" applyFont="1" applyFill="1" applyBorder="1"/>
    <xf numFmtId="0" fontId="1" fillId="8" borderId="1" xfId="0" applyFont="1" applyFill="1" applyBorder="1"/>
    <xf numFmtId="0" fontId="1" fillId="7" borderId="1" xfId="0" applyFont="1" applyFill="1" applyBorder="1"/>
    <xf numFmtId="0" fontId="1" fillId="4" borderId="1" xfId="0" applyFont="1" applyFill="1" applyBorder="1"/>
    <xf numFmtId="0" fontId="1" fillId="6" borderId="1" xfId="0" applyFont="1" applyFill="1" applyBorder="1"/>
    <xf numFmtId="0" fontId="1" fillId="3" borderId="1" xfId="0" applyFont="1" applyFill="1" applyBorder="1" applyAlignment="1">
      <alignment wrapText="1"/>
    </xf>
    <xf numFmtId="0" fontId="2" fillId="10" borderId="1" xfId="0" applyFont="1" applyFill="1" applyBorder="1"/>
    <xf numFmtId="164" fontId="2" fillId="10" borderId="1" xfId="0" applyNumberFormat="1" applyFont="1" applyFill="1" applyBorder="1"/>
    <xf numFmtId="0" fontId="2" fillId="11" borderId="1" xfId="0" applyFont="1" applyFill="1" applyBorder="1"/>
    <xf numFmtId="0" fontId="2" fillId="5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 applyAlignment="1">
      <alignment wrapText="1"/>
    </xf>
    <xf numFmtId="164" fontId="2" fillId="14" borderId="1" xfId="0" applyNumberFormat="1" applyFont="1" applyFill="1" applyBorder="1"/>
    <xf numFmtId="2" fontId="2" fillId="15" borderId="1" xfId="0" applyNumberFormat="1" applyFont="1" applyFill="1" applyBorder="1" applyAlignment="1">
      <alignment wrapText="1"/>
    </xf>
    <xf numFmtId="2" fontId="2" fillId="15" borderId="1" xfId="0" applyNumberFormat="1" applyFont="1" applyFill="1" applyBorder="1"/>
    <xf numFmtId="0" fontId="2" fillId="15" borderId="1" xfId="0" applyFont="1" applyFill="1" applyBorder="1" applyAlignment="1">
      <alignment wrapText="1"/>
    </xf>
    <xf numFmtId="2" fontId="2" fillId="5" borderId="1" xfId="0" applyNumberFormat="1" applyFont="1" applyFill="1" applyBorder="1"/>
    <xf numFmtId="164" fontId="2" fillId="15" borderId="1" xfId="0" applyNumberFormat="1" applyFont="1" applyFill="1" applyBorder="1"/>
    <xf numFmtId="0" fontId="2" fillId="7" borderId="1" xfId="0" applyFont="1" applyFill="1" applyBorder="1"/>
    <xf numFmtId="164" fontId="2" fillId="11" borderId="1" xfId="0" applyNumberFormat="1" applyFont="1" applyFill="1" applyBorder="1"/>
    <xf numFmtId="164" fontId="2" fillId="13" borderId="1" xfId="0" applyNumberFormat="1" applyFont="1" applyFill="1" applyBorder="1"/>
    <xf numFmtId="14" fontId="2" fillId="7" borderId="1" xfId="0" applyNumberFormat="1" applyFont="1" applyFill="1" applyBorder="1" applyAlignment="1">
      <alignment wrapText="1"/>
    </xf>
    <xf numFmtId="0" fontId="2" fillId="0" borderId="0" xfId="0" applyFont="1"/>
    <xf numFmtId="2" fontId="6" fillId="16" borderId="0" xfId="0" applyNumberFormat="1" applyFont="1" applyFill="1"/>
    <xf numFmtId="2" fontId="0" fillId="16" borderId="0" xfId="0" applyNumberFormat="1" applyFill="1"/>
    <xf numFmtId="164" fontId="7" fillId="14" borderId="1" xfId="0" applyNumberFormat="1" applyFont="1" applyFill="1" applyBorder="1"/>
    <xf numFmtId="2" fontId="8" fillId="16" borderId="0" xfId="0" applyNumberFormat="1" applyFont="1" applyFill="1"/>
    <xf numFmtId="2" fontId="0" fillId="0" borderId="0" xfId="0" applyNumberFormat="1"/>
    <xf numFmtId="164" fontId="0" fillId="0" borderId="0" xfId="0" applyNumberFormat="1"/>
    <xf numFmtId="0" fontId="0" fillId="0" borderId="0" xfId="0" applyAlignment="1"/>
    <xf numFmtId="0" fontId="1" fillId="8" borderId="10" xfId="0" applyFont="1" applyFill="1" applyBorder="1"/>
    <xf numFmtId="0" fontId="1" fillId="7" borderId="10" xfId="0" applyFont="1" applyFill="1" applyBorder="1"/>
    <xf numFmtId="0" fontId="1" fillId="4" borderId="10" xfId="0" applyFont="1" applyFill="1" applyBorder="1"/>
    <xf numFmtId="0" fontId="1" fillId="6" borderId="10" xfId="0" applyFont="1" applyFill="1" applyBorder="1"/>
    <xf numFmtId="0" fontId="1" fillId="3" borderId="10" xfId="0" applyFont="1" applyFill="1" applyBorder="1" applyAlignment="1">
      <alignment wrapText="1"/>
    </xf>
    <xf numFmtId="2" fontId="2" fillId="15" borderId="10" xfId="0" applyNumberFormat="1" applyFont="1" applyFill="1" applyBorder="1" applyAlignment="1">
      <alignment wrapText="1"/>
    </xf>
    <xf numFmtId="0" fontId="2" fillId="5" borderId="10" xfId="0" applyFont="1" applyFill="1" applyBorder="1" applyAlignment="1">
      <alignment wrapText="1"/>
    </xf>
    <xf numFmtId="0" fontId="2" fillId="15" borderId="10" xfId="0" applyFont="1" applyFill="1" applyBorder="1" applyAlignment="1">
      <alignment wrapText="1"/>
    </xf>
    <xf numFmtId="14" fontId="2" fillId="8" borderId="10" xfId="0" applyNumberFormat="1" applyFont="1" applyFill="1" applyBorder="1"/>
    <xf numFmtId="14" fontId="2" fillId="7" borderId="10" xfId="0" applyNumberFormat="1" applyFont="1" applyFill="1" applyBorder="1"/>
    <xf numFmtId="164" fontId="2" fillId="4" borderId="10" xfId="0" applyNumberFormat="1" applyFont="1" applyFill="1" applyBorder="1"/>
    <xf numFmtId="0" fontId="2" fillId="6" borderId="10" xfId="0" applyFont="1" applyFill="1" applyBorder="1"/>
    <xf numFmtId="164" fontId="2" fillId="3" borderId="10" xfId="0" applyNumberFormat="1" applyFont="1" applyFill="1" applyBorder="1"/>
    <xf numFmtId="2" fontId="2" fillId="15" borderId="10" xfId="0" applyNumberFormat="1" applyFont="1" applyFill="1" applyBorder="1"/>
    <xf numFmtId="2" fontId="2" fillId="5" borderId="10" xfId="0" applyNumberFormat="1" applyFont="1" applyFill="1" applyBorder="1"/>
    <xf numFmtId="164" fontId="2" fillId="15" borderId="10" xfId="0" applyNumberFormat="1" applyFont="1" applyFill="1" applyBorder="1"/>
    <xf numFmtId="164" fontId="2" fillId="5" borderId="10" xfId="0" applyNumberFormat="1" applyFont="1" applyFill="1" applyBorder="1"/>
    <xf numFmtId="0" fontId="2" fillId="14" borderId="10" xfId="0" applyFont="1" applyFill="1" applyBorder="1" applyAlignment="1">
      <alignment horizontal="right"/>
    </xf>
    <xf numFmtId="0" fontId="2" fillId="17" borderId="10" xfId="0" applyFont="1" applyFill="1" applyBorder="1" applyAlignment="1">
      <alignment horizontal="right"/>
    </xf>
    <xf numFmtId="0" fontId="2" fillId="14" borderId="10" xfId="0" applyFont="1" applyFill="1" applyBorder="1" applyAlignment="1">
      <alignment horizontal="center" vertical="center"/>
    </xf>
    <xf numFmtId="0" fontId="2" fillId="17" borderId="10" xfId="0" applyFont="1" applyFill="1" applyBorder="1" applyAlignment="1">
      <alignment horizontal="center" vertical="center"/>
    </xf>
    <xf numFmtId="0" fontId="0" fillId="18" borderId="10" xfId="0" applyFill="1" applyBorder="1"/>
    <xf numFmtId="14" fontId="2" fillId="7" borderId="10" xfId="0" applyNumberFormat="1" applyFont="1" applyFill="1" applyBorder="1" applyAlignment="1">
      <alignment wrapText="1"/>
    </xf>
    <xf numFmtId="0" fontId="2" fillId="7" borderId="10" xfId="0" applyFont="1" applyFill="1" applyBorder="1"/>
    <xf numFmtId="0" fontId="2" fillId="18" borderId="10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49" fontId="5" fillId="12" borderId="2" xfId="0" applyNumberFormat="1" applyFont="1" applyFill="1" applyBorder="1" applyAlignment="1">
      <alignment horizontal="center"/>
    </xf>
    <xf numFmtId="49" fontId="5" fillId="12" borderId="3" xfId="0" applyNumberFormat="1" applyFont="1" applyFill="1" applyBorder="1" applyAlignment="1">
      <alignment horizontal="center"/>
    </xf>
    <xf numFmtId="49" fontId="9" fillId="12" borderId="2" xfId="0" applyNumberFormat="1" applyFont="1" applyFill="1" applyBorder="1" applyAlignment="1">
      <alignment horizontal="center"/>
    </xf>
    <xf numFmtId="49" fontId="9" fillId="12" borderId="10" xfId="0" applyNumberFormat="1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6"/>
  <sheetViews>
    <sheetView workbookViewId="0">
      <selection activeCell="A5" sqref="A5:I35"/>
    </sheetView>
  </sheetViews>
  <sheetFormatPr defaultColWidth="9.140625" defaultRowHeight="15" x14ac:dyDescent="0.25"/>
  <cols>
    <col min="1" max="1" width="14.140625" customWidth="1"/>
    <col min="2" max="2" width="32.140625" customWidth="1"/>
    <col min="3" max="3" width="12.85546875" customWidth="1"/>
    <col min="4" max="4" width="17" customWidth="1"/>
    <col min="5" max="5" width="22.140625" customWidth="1"/>
    <col min="6" max="8" width="20" customWidth="1"/>
    <col min="9" max="9" width="26.140625" customWidth="1"/>
    <col min="11" max="11" width="51" customWidth="1"/>
    <col min="12" max="12" width="15" customWidth="1"/>
  </cols>
  <sheetData>
    <row r="1" spans="1:13" ht="15" customHeight="1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3" ht="15" customHeight="1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3" ht="18.75" customHeight="1" x14ac:dyDescent="0.25">
      <c r="A3" s="76"/>
      <c r="B3" s="77"/>
      <c r="C3" s="77"/>
      <c r="D3" s="77"/>
      <c r="E3" s="77"/>
      <c r="F3" s="77"/>
      <c r="G3" s="77"/>
      <c r="H3" s="77"/>
      <c r="I3" s="78"/>
    </row>
    <row r="4" spans="1:13" ht="18.75" customHeight="1" x14ac:dyDescent="0.3">
      <c r="A4" s="79" t="s">
        <v>1</v>
      </c>
      <c r="B4" s="80"/>
      <c r="C4" s="80"/>
      <c r="D4" s="80"/>
      <c r="E4" s="80"/>
      <c r="F4" s="80"/>
      <c r="G4" s="80"/>
      <c r="H4" s="80"/>
      <c r="I4" s="80"/>
    </row>
    <row r="5" spans="1:13" ht="31.5" customHeight="1" x14ac:dyDescent="0.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K5" s="69" t="s">
        <v>11</v>
      </c>
      <c r="L5" s="69"/>
      <c r="M5" s="1"/>
    </row>
    <row r="6" spans="1:13" ht="15" customHeight="1" x14ac:dyDescent="0.25">
      <c r="A6" s="6">
        <v>45231</v>
      </c>
      <c r="B6" s="5" t="s">
        <v>12</v>
      </c>
      <c r="C6" s="3">
        <v>0</v>
      </c>
      <c r="D6" s="7" t="s">
        <v>13</v>
      </c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K6" s="2" t="s">
        <v>14</v>
      </c>
      <c r="L6" s="3">
        <f>SUM(C6:C34)</f>
        <v>1620</v>
      </c>
    </row>
    <row r="7" spans="1:13" x14ac:dyDescent="0.25">
      <c r="A7" s="6">
        <v>45232</v>
      </c>
      <c r="B7" s="5" t="s">
        <v>12</v>
      </c>
      <c r="C7" s="3">
        <v>0</v>
      </c>
      <c r="D7" s="7" t="s">
        <v>13</v>
      </c>
      <c r="E7" s="8">
        <v>0</v>
      </c>
      <c r="F7" s="28">
        <v>0</v>
      </c>
      <c r="G7" s="30">
        <v>0</v>
      </c>
      <c r="H7" s="31">
        <f t="shared" ref="H7:H35" si="0">F7*0.85</f>
        <v>0</v>
      </c>
      <c r="I7" s="9">
        <f t="shared" ref="I7:I35" si="1">G7*0.9</f>
        <v>0</v>
      </c>
      <c r="K7" s="4" t="s">
        <v>15</v>
      </c>
      <c r="L7" s="8">
        <f>SUM(E6:E34)</f>
        <v>39</v>
      </c>
    </row>
    <row r="8" spans="1:13" ht="13.5" customHeight="1" x14ac:dyDescent="0.25">
      <c r="A8" s="6">
        <v>45233</v>
      </c>
      <c r="B8" s="5" t="s">
        <v>12</v>
      </c>
      <c r="C8" s="3">
        <v>0</v>
      </c>
      <c r="D8" s="7" t="s">
        <v>13</v>
      </c>
      <c r="E8" s="8">
        <v>0</v>
      </c>
      <c r="F8" s="28">
        <v>0</v>
      </c>
      <c r="G8" s="30">
        <v>0</v>
      </c>
      <c r="H8" s="31">
        <f t="shared" si="0"/>
        <v>0</v>
      </c>
      <c r="I8" s="9">
        <f t="shared" si="1"/>
        <v>0</v>
      </c>
      <c r="K8" s="11" t="s">
        <v>16</v>
      </c>
      <c r="L8" s="12">
        <v>13</v>
      </c>
    </row>
    <row r="9" spans="1:13" x14ac:dyDescent="0.25">
      <c r="A9" s="6">
        <v>45234</v>
      </c>
      <c r="B9" s="5" t="s">
        <v>12</v>
      </c>
      <c r="C9" s="3">
        <v>0</v>
      </c>
      <c r="D9" s="7" t="s">
        <v>13</v>
      </c>
      <c r="E9" s="8">
        <v>0</v>
      </c>
      <c r="F9" s="28">
        <v>0</v>
      </c>
      <c r="G9" s="30">
        <v>0</v>
      </c>
      <c r="H9" s="31">
        <f t="shared" si="0"/>
        <v>0</v>
      </c>
      <c r="I9" s="9">
        <f t="shared" si="1"/>
        <v>0</v>
      </c>
      <c r="K9" s="13" t="s">
        <v>17</v>
      </c>
      <c r="L9" s="14">
        <f>SUM(F36+G36)</f>
        <v>1099.9000000000001</v>
      </c>
    </row>
    <row r="10" spans="1:13" x14ac:dyDescent="0.25">
      <c r="A10" s="6">
        <v>45235</v>
      </c>
      <c r="B10" s="5" t="s">
        <v>12</v>
      </c>
      <c r="C10" s="3">
        <v>0</v>
      </c>
      <c r="D10" s="7" t="s">
        <v>13</v>
      </c>
      <c r="E10" s="8">
        <v>0</v>
      </c>
      <c r="F10" s="28">
        <v>0</v>
      </c>
      <c r="G10" s="30">
        <v>0</v>
      </c>
      <c r="H10" s="31">
        <f t="shared" si="0"/>
        <v>0</v>
      </c>
      <c r="I10" s="9">
        <f t="shared" si="1"/>
        <v>0</v>
      </c>
      <c r="K10" s="20" t="s">
        <v>18</v>
      </c>
      <c r="L10" s="21" cm="1">
        <f t="array" ref="L10">SUM(C6:C34+E6:E34)</f>
        <v>1659</v>
      </c>
    </row>
    <row r="11" spans="1:13" x14ac:dyDescent="0.25">
      <c r="A11" s="6">
        <v>45236</v>
      </c>
      <c r="B11" s="5" t="s">
        <v>19</v>
      </c>
      <c r="C11" s="3">
        <v>70</v>
      </c>
      <c r="D11" s="7" t="s">
        <v>20</v>
      </c>
      <c r="E11" s="8">
        <v>12.6</v>
      </c>
      <c r="F11" s="28">
        <v>130</v>
      </c>
      <c r="G11" s="30">
        <v>0</v>
      </c>
      <c r="H11" s="31">
        <f t="shared" si="0"/>
        <v>110.5</v>
      </c>
      <c r="I11" s="9">
        <f t="shared" si="1"/>
        <v>0</v>
      </c>
      <c r="K11" s="22" t="s">
        <v>21</v>
      </c>
      <c r="L11" s="33">
        <f>SUM(H6:H34)</f>
        <v>682.46500000000003</v>
      </c>
    </row>
    <row r="12" spans="1:13" x14ac:dyDescent="0.25">
      <c r="A12" s="6">
        <v>45237</v>
      </c>
      <c r="B12" s="5" t="s">
        <v>19</v>
      </c>
      <c r="C12" s="3">
        <v>70</v>
      </c>
      <c r="D12" s="7" t="s">
        <v>13</v>
      </c>
      <c r="E12" s="8">
        <v>0</v>
      </c>
      <c r="F12" s="28">
        <v>70</v>
      </c>
      <c r="G12" s="30">
        <v>0</v>
      </c>
      <c r="H12" s="31">
        <f t="shared" si="0"/>
        <v>59.5</v>
      </c>
      <c r="I12" s="9">
        <f t="shared" si="1"/>
        <v>0</v>
      </c>
      <c r="K12" s="23" t="s">
        <v>22</v>
      </c>
      <c r="L12" s="9">
        <f>SUM(I6:I34)</f>
        <v>267.3</v>
      </c>
    </row>
    <row r="13" spans="1:13" x14ac:dyDescent="0.25">
      <c r="A13" s="6">
        <v>45238</v>
      </c>
      <c r="B13" s="5" t="s">
        <v>23</v>
      </c>
      <c r="C13" s="3">
        <v>100</v>
      </c>
      <c r="D13" s="7" t="s">
        <v>13</v>
      </c>
      <c r="E13" s="8">
        <v>0</v>
      </c>
      <c r="F13" s="28">
        <v>0</v>
      </c>
      <c r="G13" s="30">
        <v>0</v>
      </c>
      <c r="H13" s="31">
        <f t="shared" si="0"/>
        <v>0</v>
      </c>
      <c r="I13" s="9">
        <f t="shared" si="1"/>
        <v>0</v>
      </c>
      <c r="K13" s="24" t="s">
        <v>24</v>
      </c>
      <c r="L13" s="34">
        <f>L11+L12</f>
        <v>949.7650000000001</v>
      </c>
    </row>
    <row r="14" spans="1:13" ht="17.25" customHeight="1" x14ac:dyDescent="0.25">
      <c r="A14" s="6">
        <v>45239</v>
      </c>
      <c r="B14" s="5" t="s">
        <v>19</v>
      </c>
      <c r="C14" s="3">
        <v>70</v>
      </c>
      <c r="D14" s="7" t="s">
        <v>25</v>
      </c>
      <c r="E14" s="8">
        <v>0</v>
      </c>
      <c r="F14" s="28">
        <v>100</v>
      </c>
      <c r="G14" s="30">
        <v>0</v>
      </c>
      <c r="H14" s="31">
        <f t="shared" si="0"/>
        <v>85</v>
      </c>
      <c r="I14" s="9">
        <f t="shared" si="1"/>
        <v>0</v>
      </c>
      <c r="K14" s="25" t="s">
        <v>26</v>
      </c>
      <c r="L14" s="39">
        <f>SUM(L10+L13)</f>
        <v>2608.7650000000003</v>
      </c>
    </row>
    <row r="15" spans="1:13" x14ac:dyDescent="0.25">
      <c r="A15" s="6">
        <v>45240</v>
      </c>
      <c r="B15" s="5" t="s">
        <v>27</v>
      </c>
      <c r="C15" s="3">
        <v>100</v>
      </c>
      <c r="D15" s="7" t="s">
        <v>13</v>
      </c>
      <c r="E15" s="8">
        <v>0</v>
      </c>
      <c r="F15" s="28">
        <v>0</v>
      </c>
      <c r="G15" s="30">
        <v>0</v>
      </c>
      <c r="H15" s="31">
        <f t="shared" si="0"/>
        <v>0</v>
      </c>
      <c r="I15" s="9">
        <f t="shared" si="1"/>
        <v>0</v>
      </c>
    </row>
    <row r="16" spans="1:13" x14ac:dyDescent="0.25">
      <c r="A16" s="6">
        <v>45241</v>
      </c>
      <c r="B16" s="5" t="s">
        <v>27</v>
      </c>
      <c r="C16" s="3">
        <v>100</v>
      </c>
      <c r="D16" s="7" t="s">
        <v>25</v>
      </c>
      <c r="E16" s="8">
        <v>0</v>
      </c>
      <c r="F16" s="28">
        <v>0</v>
      </c>
      <c r="G16" s="30">
        <v>0</v>
      </c>
      <c r="H16" s="31">
        <f t="shared" si="0"/>
        <v>0</v>
      </c>
      <c r="I16" s="9">
        <f t="shared" si="1"/>
        <v>0</v>
      </c>
    </row>
    <row r="17" spans="1:9" x14ac:dyDescent="0.25">
      <c r="A17" s="6">
        <v>45242</v>
      </c>
      <c r="B17" s="5" t="s">
        <v>12</v>
      </c>
      <c r="C17" s="3">
        <v>0</v>
      </c>
      <c r="D17" s="7" t="s">
        <v>25</v>
      </c>
      <c r="E17" s="8">
        <v>0</v>
      </c>
      <c r="F17" s="28">
        <v>0</v>
      </c>
      <c r="G17" s="30">
        <v>0</v>
      </c>
      <c r="H17" s="31">
        <f t="shared" si="0"/>
        <v>0</v>
      </c>
      <c r="I17" s="9">
        <f t="shared" si="1"/>
        <v>0</v>
      </c>
    </row>
    <row r="18" spans="1:9" x14ac:dyDescent="0.25">
      <c r="A18" s="6">
        <v>45243</v>
      </c>
      <c r="B18" s="5" t="s">
        <v>28</v>
      </c>
      <c r="C18" s="3">
        <v>160</v>
      </c>
      <c r="D18" s="7" t="s">
        <v>25</v>
      </c>
      <c r="E18" s="8">
        <v>0</v>
      </c>
      <c r="F18" s="28">
        <v>101</v>
      </c>
      <c r="G18" s="30">
        <v>0</v>
      </c>
      <c r="H18" s="31">
        <f t="shared" si="0"/>
        <v>85.85</v>
      </c>
      <c r="I18" s="9">
        <f t="shared" si="1"/>
        <v>0</v>
      </c>
    </row>
    <row r="19" spans="1:9" x14ac:dyDescent="0.25">
      <c r="A19" s="6">
        <v>45244</v>
      </c>
      <c r="B19" s="5" t="s">
        <v>29</v>
      </c>
      <c r="C19" s="3">
        <v>70</v>
      </c>
      <c r="D19" s="7" t="s">
        <v>13</v>
      </c>
      <c r="E19" s="8">
        <v>0</v>
      </c>
      <c r="F19" s="28">
        <v>100</v>
      </c>
      <c r="G19" s="30">
        <v>0</v>
      </c>
      <c r="H19" s="31">
        <f t="shared" si="0"/>
        <v>85</v>
      </c>
      <c r="I19" s="9">
        <f t="shared" si="1"/>
        <v>0</v>
      </c>
    </row>
    <row r="20" spans="1:9" x14ac:dyDescent="0.25">
      <c r="A20" s="6">
        <v>45245</v>
      </c>
      <c r="B20" s="5" t="s">
        <v>30</v>
      </c>
      <c r="C20" s="3">
        <v>120</v>
      </c>
      <c r="D20" s="7" t="s">
        <v>25</v>
      </c>
      <c r="E20" s="8">
        <v>0</v>
      </c>
      <c r="F20" s="28">
        <v>0</v>
      </c>
      <c r="G20" s="30">
        <v>112</v>
      </c>
      <c r="H20" s="31">
        <f t="shared" si="0"/>
        <v>0</v>
      </c>
      <c r="I20" s="9">
        <f t="shared" si="1"/>
        <v>100.8</v>
      </c>
    </row>
    <row r="21" spans="1:9" x14ac:dyDescent="0.25">
      <c r="A21" s="6">
        <v>45246</v>
      </c>
      <c r="B21" s="5" t="s">
        <v>12</v>
      </c>
      <c r="C21" s="3">
        <v>0</v>
      </c>
      <c r="D21" s="7" t="s">
        <v>25</v>
      </c>
      <c r="E21" s="8">
        <v>0</v>
      </c>
      <c r="F21" s="28">
        <v>0</v>
      </c>
      <c r="G21" s="30">
        <v>0</v>
      </c>
      <c r="H21" s="31">
        <f t="shared" si="0"/>
        <v>0</v>
      </c>
      <c r="I21" s="9">
        <f t="shared" si="1"/>
        <v>0</v>
      </c>
    </row>
    <row r="22" spans="1:9" x14ac:dyDescent="0.25">
      <c r="A22" s="6">
        <v>45247</v>
      </c>
      <c r="B22" s="5" t="s">
        <v>23</v>
      </c>
      <c r="C22" s="3">
        <v>100</v>
      </c>
      <c r="D22" s="7" t="s">
        <v>20</v>
      </c>
      <c r="E22" s="8">
        <v>6.4</v>
      </c>
      <c r="F22" s="28">
        <v>127</v>
      </c>
      <c r="G22" s="30">
        <v>0</v>
      </c>
      <c r="H22" s="31">
        <f t="shared" si="0"/>
        <v>107.95</v>
      </c>
      <c r="I22" s="9">
        <f t="shared" si="1"/>
        <v>0</v>
      </c>
    </row>
    <row r="23" spans="1:9" ht="12.75" customHeight="1" x14ac:dyDescent="0.25">
      <c r="A23" s="6">
        <v>45248</v>
      </c>
      <c r="B23" s="35" t="s">
        <v>31</v>
      </c>
      <c r="C23" s="3">
        <v>240</v>
      </c>
      <c r="D23" s="7" t="s">
        <v>25</v>
      </c>
      <c r="E23" s="8">
        <v>0</v>
      </c>
      <c r="F23" s="28">
        <v>0</v>
      </c>
      <c r="G23" s="30">
        <v>185</v>
      </c>
      <c r="H23" s="31">
        <f t="shared" si="0"/>
        <v>0</v>
      </c>
      <c r="I23" s="9">
        <f t="shared" si="1"/>
        <v>166.5</v>
      </c>
    </row>
    <row r="24" spans="1:9" x14ac:dyDescent="0.25">
      <c r="A24" s="6">
        <v>45249</v>
      </c>
      <c r="B24" s="5" t="s">
        <v>12</v>
      </c>
      <c r="C24" s="3">
        <v>0</v>
      </c>
      <c r="D24" s="7" t="s">
        <v>25</v>
      </c>
      <c r="E24" s="8">
        <v>0</v>
      </c>
      <c r="F24" s="28">
        <v>0</v>
      </c>
      <c r="G24" s="30">
        <v>0</v>
      </c>
      <c r="H24" s="31">
        <f t="shared" si="0"/>
        <v>0</v>
      </c>
      <c r="I24" s="9">
        <f t="shared" si="1"/>
        <v>0</v>
      </c>
    </row>
    <row r="25" spans="1:9" x14ac:dyDescent="0.25">
      <c r="A25" s="6">
        <v>45250</v>
      </c>
      <c r="B25" s="5" t="s">
        <v>12</v>
      </c>
      <c r="C25" s="3">
        <v>0</v>
      </c>
      <c r="D25" s="7" t="s">
        <v>13</v>
      </c>
      <c r="E25" s="8">
        <v>0</v>
      </c>
      <c r="F25" s="28">
        <v>0</v>
      </c>
      <c r="G25" s="30">
        <v>0</v>
      </c>
      <c r="H25" s="31">
        <f t="shared" si="0"/>
        <v>0</v>
      </c>
      <c r="I25" s="9">
        <f t="shared" si="1"/>
        <v>0</v>
      </c>
    </row>
    <row r="26" spans="1:9" x14ac:dyDescent="0.25">
      <c r="A26" s="6">
        <v>45251</v>
      </c>
      <c r="B26" s="5" t="s">
        <v>12</v>
      </c>
      <c r="C26" s="3">
        <v>0</v>
      </c>
      <c r="D26" s="7" t="s">
        <v>25</v>
      </c>
      <c r="E26" s="8">
        <v>0</v>
      </c>
      <c r="F26" s="28">
        <v>0</v>
      </c>
      <c r="G26" s="30">
        <v>0</v>
      </c>
      <c r="H26" s="31">
        <f t="shared" si="0"/>
        <v>0</v>
      </c>
      <c r="I26" s="9">
        <f t="shared" si="1"/>
        <v>0</v>
      </c>
    </row>
    <row r="27" spans="1:9" x14ac:dyDescent="0.25">
      <c r="A27" s="6">
        <v>45252</v>
      </c>
      <c r="B27" s="5" t="s">
        <v>23</v>
      </c>
      <c r="C27" s="3">
        <v>100</v>
      </c>
      <c r="D27" s="7" t="s">
        <v>13</v>
      </c>
      <c r="E27" s="8">
        <v>0</v>
      </c>
      <c r="F27" s="28">
        <v>100</v>
      </c>
      <c r="G27" s="30">
        <v>0</v>
      </c>
      <c r="H27" s="31">
        <f t="shared" si="0"/>
        <v>85</v>
      </c>
      <c r="I27" s="9">
        <f t="shared" si="1"/>
        <v>0</v>
      </c>
    </row>
    <row r="28" spans="1:9" x14ac:dyDescent="0.25">
      <c r="A28" s="6">
        <v>45253</v>
      </c>
      <c r="B28" s="5" t="s">
        <v>32</v>
      </c>
      <c r="C28" s="3">
        <v>100</v>
      </c>
      <c r="D28" s="7" t="s">
        <v>25</v>
      </c>
      <c r="E28" s="8">
        <v>0</v>
      </c>
      <c r="F28" s="28">
        <v>74.900000000000006</v>
      </c>
      <c r="G28" s="30">
        <v>0</v>
      </c>
      <c r="H28" s="31">
        <f t="shared" si="0"/>
        <v>63.665000000000006</v>
      </c>
      <c r="I28" s="9">
        <f t="shared" si="1"/>
        <v>0</v>
      </c>
    </row>
    <row r="29" spans="1:9" x14ac:dyDescent="0.25">
      <c r="A29" s="6">
        <v>45254</v>
      </c>
      <c r="B29" s="5" t="s">
        <v>23</v>
      </c>
      <c r="C29" s="3">
        <v>100</v>
      </c>
      <c r="D29" s="7" t="s">
        <v>25</v>
      </c>
      <c r="E29" s="8">
        <v>0</v>
      </c>
      <c r="F29" s="28">
        <v>0</v>
      </c>
      <c r="G29" s="30">
        <v>0</v>
      </c>
      <c r="H29" s="31">
        <f t="shared" si="0"/>
        <v>0</v>
      </c>
      <c r="I29" s="9">
        <f t="shared" si="1"/>
        <v>0</v>
      </c>
    </row>
    <row r="30" spans="1:9" x14ac:dyDescent="0.25">
      <c r="A30" s="6">
        <v>45255</v>
      </c>
      <c r="B30" s="5" t="s">
        <v>12</v>
      </c>
      <c r="C30" s="3">
        <v>0</v>
      </c>
      <c r="D30" s="7" t="s">
        <v>25</v>
      </c>
      <c r="E30" s="8">
        <v>0</v>
      </c>
      <c r="F30" s="28">
        <v>0</v>
      </c>
      <c r="G30" s="30">
        <v>0</v>
      </c>
      <c r="H30" s="31">
        <f t="shared" si="0"/>
        <v>0</v>
      </c>
      <c r="I30" s="9">
        <f t="shared" si="1"/>
        <v>0</v>
      </c>
    </row>
    <row r="31" spans="1:9" x14ac:dyDescent="0.25">
      <c r="A31" s="6">
        <v>45256</v>
      </c>
      <c r="B31" s="5" t="s">
        <v>12</v>
      </c>
      <c r="C31" s="3">
        <v>0</v>
      </c>
      <c r="D31" s="7" t="s">
        <v>25</v>
      </c>
      <c r="E31" s="8">
        <v>0</v>
      </c>
      <c r="F31" s="28">
        <v>0</v>
      </c>
      <c r="G31" s="30">
        <v>0</v>
      </c>
      <c r="H31" s="31">
        <f t="shared" si="0"/>
        <v>0</v>
      </c>
      <c r="I31" s="9">
        <f t="shared" si="1"/>
        <v>0</v>
      </c>
    </row>
    <row r="32" spans="1:9" x14ac:dyDescent="0.25">
      <c r="A32" s="6">
        <v>45257</v>
      </c>
      <c r="B32" s="5" t="s">
        <v>12</v>
      </c>
      <c r="C32" s="3">
        <v>0</v>
      </c>
      <c r="D32" s="7" t="s">
        <v>25</v>
      </c>
      <c r="E32" s="8">
        <v>0</v>
      </c>
      <c r="F32" s="28">
        <v>0</v>
      </c>
      <c r="G32" s="30">
        <v>0</v>
      </c>
      <c r="H32" s="31">
        <f t="shared" si="0"/>
        <v>0</v>
      </c>
      <c r="I32" s="9">
        <f t="shared" si="1"/>
        <v>0</v>
      </c>
    </row>
    <row r="33" spans="1:9" x14ac:dyDescent="0.25">
      <c r="A33" s="6">
        <v>45258</v>
      </c>
      <c r="B33" s="5" t="s">
        <v>33</v>
      </c>
      <c r="C33" s="3">
        <v>120</v>
      </c>
      <c r="D33" s="7" t="s">
        <v>34</v>
      </c>
      <c r="E33" s="8">
        <v>20</v>
      </c>
      <c r="F33" s="28">
        <v>0</v>
      </c>
      <c r="G33" s="30">
        <v>0</v>
      </c>
      <c r="H33" s="31">
        <f t="shared" si="0"/>
        <v>0</v>
      </c>
      <c r="I33" s="9">
        <f t="shared" si="1"/>
        <v>0</v>
      </c>
    </row>
    <row r="34" spans="1:9" x14ac:dyDescent="0.25">
      <c r="A34" s="6">
        <v>45259</v>
      </c>
      <c r="B34" s="5" t="s">
        <v>12</v>
      </c>
      <c r="C34" s="3">
        <v>0</v>
      </c>
      <c r="D34" s="7" t="s">
        <v>25</v>
      </c>
      <c r="E34" s="8">
        <v>0</v>
      </c>
      <c r="F34" s="28">
        <v>0</v>
      </c>
      <c r="G34" s="30">
        <v>0</v>
      </c>
      <c r="H34" s="31">
        <f t="shared" si="0"/>
        <v>0</v>
      </c>
      <c r="I34" s="9">
        <f t="shared" si="1"/>
        <v>0</v>
      </c>
    </row>
    <row r="35" spans="1:9" x14ac:dyDescent="0.25">
      <c r="A35" s="6">
        <v>45260</v>
      </c>
      <c r="B35" s="32" t="s">
        <v>12</v>
      </c>
      <c r="C35" s="3">
        <v>0</v>
      </c>
      <c r="D35" s="7" t="s">
        <v>25</v>
      </c>
      <c r="E35" s="8">
        <v>0</v>
      </c>
      <c r="F35" s="28">
        <v>0</v>
      </c>
      <c r="G35" s="30">
        <v>0</v>
      </c>
      <c r="H35" s="31">
        <f t="shared" si="0"/>
        <v>0</v>
      </c>
      <c r="I35" s="9">
        <f t="shared" si="1"/>
        <v>0</v>
      </c>
    </row>
    <row r="36" spans="1:9" x14ac:dyDescent="0.25">
      <c r="F36" s="38">
        <f>SUM(F6:F35)</f>
        <v>802.9</v>
      </c>
      <c r="G36" s="38">
        <f>SUM(G6:G35)</f>
        <v>297</v>
      </c>
    </row>
  </sheetData>
  <mergeCells count="3">
    <mergeCell ref="K5:L5"/>
    <mergeCell ref="A1:I3"/>
    <mergeCell ref="A4:I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/>
  </sheetPr>
  <dimension ref="A1:P37"/>
  <sheetViews>
    <sheetView topLeftCell="A4" workbookViewId="0">
      <selection activeCell="A5" sqref="A5:I36"/>
    </sheetView>
  </sheetViews>
  <sheetFormatPr defaultRowHeight="15" x14ac:dyDescent="0.25"/>
  <cols>
    <col min="1" max="1" width="19.28515625" customWidth="1"/>
    <col min="2" max="2" width="39.7109375" customWidth="1"/>
    <col min="3" max="3" width="20" customWidth="1"/>
    <col min="4" max="4" width="30.140625" customWidth="1"/>
    <col min="5" max="6" width="24.28515625" customWidth="1"/>
    <col min="7" max="7" width="19.7109375" customWidth="1"/>
    <col min="8" max="8" width="21.42578125" customWidth="1"/>
    <col min="9" max="9" width="25.42578125" customWidth="1"/>
    <col min="14" max="14" width="0" hidden="1" customWidth="1"/>
    <col min="15" max="15" width="58" customWidth="1"/>
    <col min="16" max="16" width="31.285156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1.75" customHeight="1" x14ac:dyDescent="0.3">
      <c r="A4" s="79" t="s">
        <v>35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SUM(C6:C36)</f>
        <v>1780</v>
      </c>
    </row>
    <row r="5" spans="1:16" ht="27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SUM(E6:E36)</f>
        <v>126.7</v>
      </c>
    </row>
    <row r="6" spans="1:16" ht="16.5" customHeight="1" x14ac:dyDescent="0.25">
      <c r="A6" s="6">
        <v>45261</v>
      </c>
      <c r="B6" s="5" t="s">
        <v>23</v>
      </c>
      <c r="C6" s="3">
        <v>100</v>
      </c>
      <c r="D6" s="7" t="s">
        <v>34</v>
      </c>
      <c r="E6" s="8">
        <v>20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12</v>
      </c>
    </row>
    <row r="7" spans="1:16" x14ac:dyDescent="0.25">
      <c r="A7" s="6">
        <v>45262</v>
      </c>
      <c r="B7" s="5" t="s">
        <v>36</v>
      </c>
      <c r="C7" s="3">
        <v>260</v>
      </c>
      <c r="D7" s="7" t="s">
        <v>34</v>
      </c>
      <c r="E7" s="8">
        <v>20</v>
      </c>
      <c r="F7" s="28">
        <v>0</v>
      </c>
      <c r="G7" s="30">
        <v>121.8</v>
      </c>
      <c r="H7" s="31">
        <f t="shared" ref="H7:H36" si="0">F7*0.85</f>
        <v>0</v>
      </c>
      <c r="I7" s="9">
        <f t="shared" ref="I7:I36" si="1">G7*0.9</f>
        <v>109.62</v>
      </c>
      <c r="O7" s="13" t="s">
        <v>17</v>
      </c>
      <c r="P7" s="14">
        <f>SUM(F37+G37)</f>
        <v>519.29999999999995</v>
      </c>
    </row>
    <row r="8" spans="1:16" x14ac:dyDescent="0.25">
      <c r="A8" s="6">
        <v>45263</v>
      </c>
      <c r="B8" s="5" t="s">
        <v>12</v>
      </c>
      <c r="C8" s="3">
        <v>0</v>
      </c>
      <c r="D8" s="7" t="s">
        <v>13</v>
      </c>
      <c r="E8" s="8">
        <v>0</v>
      </c>
      <c r="F8" s="28">
        <v>0</v>
      </c>
      <c r="G8" s="30">
        <v>0</v>
      </c>
      <c r="H8" s="31">
        <f t="shared" si="0"/>
        <v>0</v>
      </c>
      <c r="I8" s="9">
        <f t="shared" si="1"/>
        <v>0</v>
      </c>
      <c r="O8" s="20" t="s">
        <v>18</v>
      </c>
      <c r="P8" s="21">
        <f>SUM(P5+P4)</f>
        <v>1906.7</v>
      </c>
    </row>
    <row r="9" spans="1:16" x14ac:dyDescent="0.25">
      <c r="A9" s="6">
        <v>45264</v>
      </c>
      <c r="B9" s="5" t="s">
        <v>37</v>
      </c>
      <c r="C9" s="3">
        <v>120</v>
      </c>
      <c r="D9" s="7" t="s">
        <v>34</v>
      </c>
      <c r="E9" s="8">
        <v>20</v>
      </c>
      <c r="F9" s="28">
        <v>0</v>
      </c>
      <c r="G9" s="30">
        <v>0</v>
      </c>
      <c r="H9" s="31">
        <f t="shared" si="0"/>
        <v>0</v>
      </c>
      <c r="I9" s="9">
        <f t="shared" si="1"/>
        <v>0</v>
      </c>
      <c r="O9" s="22" t="s">
        <v>21</v>
      </c>
      <c r="P9" s="33">
        <f>SUM(H6:H36)</f>
        <v>337.875</v>
      </c>
    </row>
    <row r="10" spans="1:16" x14ac:dyDescent="0.25">
      <c r="A10" s="6">
        <v>45265</v>
      </c>
      <c r="B10" s="5" t="s">
        <v>38</v>
      </c>
      <c r="C10" s="3">
        <v>100</v>
      </c>
      <c r="D10" s="7" t="s">
        <v>13</v>
      </c>
      <c r="E10" s="8">
        <v>0</v>
      </c>
      <c r="F10" s="28">
        <v>0</v>
      </c>
      <c r="G10" s="30">
        <v>0</v>
      </c>
      <c r="H10" s="31">
        <f t="shared" si="0"/>
        <v>0</v>
      </c>
      <c r="I10" s="9">
        <f t="shared" si="1"/>
        <v>0</v>
      </c>
      <c r="O10" s="23" t="s">
        <v>22</v>
      </c>
      <c r="P10" s="9">
        <f>SUM(I6:I36)</f>
        <v>109.62</v>
      </c>
    </row>
    <row r="11" spans="1:16" x14ac:dyDescent="0.25">
      <c r="A11" s="6">
        <v>45266</v>
      </c>
      <c r="B11" s="5" t="s">
        <v>39</v>
      </c>
      <c r="C11" s="3">
        <v>220</v>
      </c>
      <c r="D11" s="7" t="s">
        <v>13</v>
      </c>
      <c r="E11" s="8">
        <v>0</v>
      </c>
      <c r="F11" s="28">
        <v>27</v>
      </c>
      <c r="G11" s="30">
        <v>0</v>
      </c>
      <c r="H11" s="31">
        <f t="shared" si="0"/>
        <v>22.95</v>
      </c>
      <c r="I11" s="9">
        <f t="shared" si="1"/>
        <v>0</v>
      </c>
      <c r="O11" s="24" t="s">
        <v>24</v>
      </c>
      <c r="P11" s="34">
        <f>P9+P10</f>
        <v>447.495</v>
      </c>
    </row>
    <row r="12" spans="1:16" ht="18" customHeight="1" x14ac:dyDescent="0.25">
      <c r="A12" s="6">
        <v>45267</v>
      </c>
      <c r="B12" s="5" t="s">
        <v>12</v>
      </c>
      <c r="C12" s="3">
        <v>0</v>
      </c>
      <c r="D12" s="7" t="s">
        <v>13</v>
      </c>
      <c r="E12" s="8">
        <v>0</v>
      </c>
      <c r="F12" s="28">
        <v>0</v>
      </c>
      <c r="G12" s="30">
        <v>0</v>
      </c>
      <c r="H12" s="31">
        <f t="shared" si="0"/>
        <v>0</v>
      </c>
      <c r="I12" s="9">
        <f t="shared" si="1"/>
        <v>0</v>
      </c>
      <c r="O12" s="25" t="s">
        <v>26</v>
      </c>
      <c r="P12" s="39">
        <f>SUM(P8+P11)</f>
        <v>2354.1950000000002</v>
      </c>
    </row>
    <row r="13" spans="1:16" x14ac:dyDescent="0.25">
      <c r="A13" s="6">
        <v>45268</v>
      </c>
      <c r="B13" s="5" t="s">
        <v>12</v>
      </c>
      <c r="C13" s="3">
        <v>0</v>
      </c>
      <c r="D13" s="7" t="s">
        <v>13</v>
      </c>
      <c r="E13" s="8">
        <v>0</v>
      </c>
      <c r="F13" s="28">
        <v>0</v>
      </c>
      <c r="G13" s="30">
        <v>0</v>
      </c>
      <c r="H13" s="31">
        <f t="shared" si="0"/>
        <v>0</v>
      </c>
      <c r="I13" s="9">
        <f t="shared" si="1"/>
        <v>0</v>
      </c>
    </row>
    <row r="14" spans="1:16" x14ac:dyDescent="0.25">
      <c r="A14" s="6">
        <v>45269</v>
      </c>
      <c r="B14" s="5" t="s">
        <v>40</v>
      </c>
      <c r="C14" s="3">
        <v>200</v>
      </c>
      <c r="D14" s="7" t="s">
        <v>13</v>
      </c>
      <c r="E14" s="8">
        <v>0</v>
      </c>
      <c r="F14" s="28">
        <v>84.8</v>
      </c>
      <c r="G14" s="30">
        <v>0</v>
      </c>
      <c r="H14" s="31">
        <f t="shared" si="0"/>
        <v>72.08</v>
      </c>
      <c r="I14" s="9">
        <f t="shared" si="1"/>
        <v>0</v>
      </c>
    </row>
    <row r="15" spans="1:16" x14ac:dyDescent="0.25">
      <c r="A15" s="6">
        <v>45270</v>
      </c>
      <c r="B15" s="5" t="s">
        <v>12</v>
      </c>
      <c r="C15" s="3">
        <v>0</v>
      </c>
      <c r="D15" s="7" t="s">
        <v>13</v>
      </c>
      <c r="E15" s="8">
        <v>0</v>
      </c>
      <c r="F15" s="28">
        <v>0</v>
      </c>
      <c r="G15" s="30">
        <v>0</v>
      </c>
      <c r="H15" s="31">
        <f t="shared" si="0"/>
        <v>0</v>
      </c>
      <c r="I15" s="9">
        <f t="shared" si="1"/>
        <v>0</v>
      </c>
    </row>
    <row r="16" spans="1:16" x14ac:dyDescent="0.25">
      <c r="A16" s="6">
        <v>45271</v>
      </c>
      <c r="B16" s="5" t="s">
        <v>12</v>
      </c>
      <c r="C16" s="3">
        <v>0</v>
      </c>
      <c r="D16" s="7" t="s">
        <v>13</v>
      </c>
      <c r="E16" s="8">
        <v>0</v>
      </c>
      <c r="F16" s="28">
        <v>0</v>
      </c>
      <c r="G16" s="30">
        <v>0</v>
      </c>
      <c r="H16" s="31">
        <f t="shared" si="0"/>
        <v>0</v>
      </c>
      <c r="I16" s="9">
        <f t="shared" si="1"/>
        <v>0</v>
      </c>
    </row>
    <row r="17" spans="1:9" x14ac:dyDescent="0.25">
      <c r="A17" s="6">
        <v>45272</v>
      </c>
      <c r="B17" s="5" t="s">
        <v>12</v>
      </c>
      <c r="C17" s="3">
        <v>0</v>
      </c>
      <c r="D17" s="7" t="s">
        <v>13</v>
      </c>
      <c r="E17" s="8">
        <v>0</v>
      </c>
      <c r="F17" s="28">
        <v>0</v>
      </c>
      <c r="G17" s="30">
        <v>0</v>
      </c>
      <c r="H17" s="31">
        <f t="shared" si="0"/>
        <v>0</v>
      </c>
      <c r="I17" s="9">
        <f t="shared" si="1"/>
        <v>0</v>
      </c>
    </row>
    <row r="18" spans="1:9" x14ac:dyDescent="0.25">
      <c r="A18" s="6">
        <v>45273</v>
      </c>
      <c r="B18" s="5" t="s">
        <v>23</v>
      </c>
      <c r="C18" s="3">
        <v>100</v>
      </c>
      <c r="D18" s="7" t="s">
        <v>34</v>
      </c>
      <c r="E18" s="8">
        <v>20</v>
      </c>
      <c r="F18" s="28">
        <v>0</v>
      </c>
      <c r="G18" s="30">
        <v>0</v>
      </c>
      <c r="H18" s="31">
        <f t="shared" si="0"/>
        <v>0</v>
      </c>
      <c r="I18" s="9">
        <f t="shared" si="1"/>
        <v>0</v>
      </c>
    </row>
    <row r="19" spans="1:9" x14ac:dyDescent="0.25">
      <c r="A19" s="6">
        <v>45274</v>
      </c>
      <c r="B19" s="5" t="s">
        <v>12</v>
      </c>
      <c r="C19" s="3">
        <v>0</v>
      </c>
      <c r="D19" s="7" t="s">
        <v>13</v>
      </c>
      <c r="E19" s="8">
        <v>0</v>
      </c>
      <c r="F19" s="28">
        <v>0</v>
      </c>
      <c r="G19" s="30">
        <v>0</v>
      </c>
      <c r="H19" s="31">
        <f t="shared" si="0"/>
        <v>0</v>
      </c>
      <c r="I19" s="9">
        <f t="shared" si="1"/>
        <v>0</v>
      </c>
    </row>
    <row r="20" spans="1:9" x14ac:dyDescent="0.25">
      <c r="A20" s="6">
        <v>45275</v>
      </c>
      <c r="B20" s="5" t="s">
        <v>41</v>
      </c>
      <c r="C20" s="3">
        <v>100</v>
      </c>
      <c r="D20" s="7" t="s">
        <v>13</v>
      </c>
      <c r="E20" s="8">
        <v>0</v>
      </c>
      <c r="F20" s="28">
        <v>107</v>
      </c>
      <c r="G20" s="30">
        <v>0</v>
      </c>
      <c r="H20" s="31">
        <f t="shared" si="0"/>
        <v>90.95</v>
      </c>
      <c r="I20" s="9">
        <f t="shared" si="1"/>
        <v>0</v>
      </c>
    </row>
    <row r="21" spans="1:9" x14ac:dyDescent="0.25">
      <c r="A21" s="6">
        <v>45276</v>
      </c>
      <c r="B21" s="5" t="s">
        <v>12</v>
      </c>
      <c r="C21" s="3">
        <v>0</v>
      </c>
      <c r="D21" s="7" t="s">
        <v>13</v>
      </c>
      <c r="E21" s="8">
        <v>0</v>
      </c>
      <c r="F21" s="28">
        <v>0</v>
      </c>
      <c r="G21" s="30">
        <v>0</v>
      </c>
      <c r="H21" s="31">
        <f t="shared" si="0"/>
        <v>0</v>
      </c>
      <c r="I21" s="9">
        <f t="shared" si="1"/>
        <v>0</v>
      </c>
    </row>
    <row r="22" spans="1:9" ht="15" customHeight="1" x14ac:dyDescent="0.25">
      <c r="A22" s="6">
        <v>45277</v>
      </c>
      <c r="B22" s="5" t="s">
        <v>12</v>
      </c>
      <c r="C22" s="3">
        <v>0</v>
      </c>
      <c r="D22" s="7" t="s">
        <v>13</v>
      </c>
      <c r="E22" s="8">
        <v>0</v>
      </c>
      <c r="F22" s="28">
        <v>0</v>
      </c>
      <c r="G22" s="30">
        <v>0</v>
      </c>
      <c r="H22" s="31">
        <f t="shared" si="0"/>
        <v>0</v>
      </c>
      <c r="I22" s="9">
        <f t="shared" si="1"/>
        <v>0</v>
      </c>
    </row>
    <row r="23" spans="1:9" ht="14.25" customHeight="1" x14ac:dyDescent="0.25">
      <c r="A23" s="6">
        <v>45278</v>
      </c>
      <c r="B23" s="5" t="s">
        <v>12</v>
      </c>
      <c r="C23" s="3">
        <v>0</v>
      </c>
      <c r="D23" s="7" t="s">
        <v>13</v>
      </c>
      <c r="E23" s="8">
        <v>0</v>
      </c>
      <c r="F23" s="28">
        <v>0</v>
      </c>
      <c r="G23" s="30">
        <v>0</v>
      </c>
      <c r="H23" s="31">
        <f t="shared" si="0"/>
        <v>0</v>
      </c>
      <c r="I23" s="9">
        <f t="shared" si="1"/>
        <v>0</v>
      </c>
    </row>
    <row r="24" spans="1:9" x14ac:dyDescent="0.25">
      <c r="A24" s="6">
        <v>45279</v>
      </c>
      <c r="B24" s="5" t="s">
        <v>12</v>
      </c>
      <c r="C24" s="3">
        <v>0</v>
      </c>
      <c r="D24" s="7" t="s">
        <v>13</v>
      </c>
      <c r="E24" s="8">
        <v>0</v>
      </c>
      <c r="F24" s="28">
        <v>0</v>
      </c>
      <c r="G24" s="30">
        <v>0</v>
      </c>
      <c r="H24" s="31">
        <f t="shared" si="0"/>
        <v>0</v>
      </c>
      <c r="I24" s="9">
        <f t="shared" si="1"/>
        <v>0</v>
      </c>
    </row>
    <row r="25" spans="1:9" x14ac:dyDescent="0.25">
      <c r="A25" s="6">
        <v>45280</v>
      </c>
      <c r="B25" s="5" t="s">
        <v>42</v>
      </c>
      <c r="C25" s="3">
        <v>200</v>
      </c>
      <c r="D25" s="7" t="s">
        <v>43</v>
      </c>
      <c r="E25" s="8">
        <v>6.7</v>
      </c>
      <c r="F25" s="28">
        <v>123</v>
      </c>
      <c r="G25" s="30">
        <v>0</v>
      </c>
      <c r="H25" s="31">
        <f t="shared" si="0"/>
        <v>104.55</v>
      </c>
      <c r="I25" s="9">
        <f t="shared" si="1"/>
        <v>0</v>
      </c>
    </row>
    <row r="26" spans="1:9" x14ac:dyDescent="0.25">
      <c r="A26" s="6">
        <v>45281</v>
      </c>
      <c r="B26" s="5" t="s">
        <v>12</v>
      </c>
      <c r="C26" s="3">
        <v>0</v>
      </c>
      <c r="D26" s="7" t="s">
        <v>13</v>
      </c>
      <c r="E26" s="8">
        <v>0</v>
      </c>
      <c r="F26" s="28">
        <v>0</v>
      </c>
      <c r="G26" s="30">
        <v>0</v>
      </c>
      <c r="H26" s="31">
        <f t="shared" si="0"/>
        <v>0</v>
      </c>
      <c r="I26" s="9">
        <f t="shared" si="1"/>
        <v>0</v>
      </c>
    </row>
    <row r="27" spans="1:9" x14ac:dyDescent="0.25">
      <c r="A27" s="6">
        <v>45282</v>
      </c>
      <c r="B27" s="5" t="s">
        <v>44</v>
      </c>
      <c r="C27" s="3">
        <v>180</v>
      </c>
      <c r="D27" s="7" t="s">
        <v>34</v>
      </c>
      <c r="E27" s="8">
        <v>20</v>
      </c>
      <c r="F27" s="28">
        <v>55.7</v>
      </c>
      <c r="G27" s="30">
        <v>0</v>
      </c>
      <c r="H27" s="31">
        <f t="shared" si="0"/>
        <v>47.344999999999999</v>
      </c>
      <c r="I27" s="9">
        <f t="shared" si="1"/>
        <v>0</v>
      </c>
    </row>
    <row r="28" spans="1:9" x14ac:dyDescent="0.25">
      <c r="A28" s="6">
        <v>45283</v>
      </c>
      <c r="B28" s="5" t="s">
        <v>12</v>
      </c>
      <c r="C28" s="3">
        <v>0</v>
      </c>
      <c r="D28" s="7" t="s">
        <v>13</v>
      </c>
      <c r="E28" s="8">
        <v>0</v>
      </c>
      <c r="F28" s="28">
        <v>0</v>
      </c>
      <c r="G28" s="30">
        <v>0</v>
      </c>
      <c r="H28" s="31">
        <f t="shared" si="0"/>
        <v>0</v>
      </c>
      <c r="I28" s="9">
        <f t="shared" si="1"/>
        <v>0</v>
      </c>
    </row>
    <row r="29" spans="1:9" x14ac:dyDescent="0.25">
      <c r="A29" s="6">
        <v>45284</v>
      </c>
      <c r="B29" s="5" t="s">
        <v>12</v>
      </c>
      <c r="C29" s="3">
        <v>0</v>
      </c>
      <c r="D29" s="7" t="s">
        <v>13</v>
      </c>
      <c r="E29" s="8">
        <v>0</v>
      </c>
      <c r="F29" s="28">
        <v>0</v>
      </c>
      <c r="G29" s="30">
        <v>0</v>
      </c>
      <c r="H29" s="31">
        <f t="shared" si="0"/>
        <v>0</v>
      </c>
      <c r="I29" s="9">
        <f t="shared" si="1"/>
        <v>0</v>
      </c>
    </row>
    <row r="30" spans="1:9" x14ac:dyDescent="0.25">
      <c r="A30" s="6">
        <v>45285</v>
      </c>
      <c r="B30" s="5" t="s">
        <v>12</v>
      </c>
      <c r="C30" s="3">
        <v>0</v>
      </c>
      <c r="D30" s="7" t="s">
        <v>13</v>
      </c>
      <c r="E30" s="8">
        <v>0</v>
      </c>
      <c r="F30" s="28">
        <v>0</v>
      </c>
      <c r="G30" s="30">
        <v>0</v>
      </c>
      <c r="H30" s="31">
        <f t="shared" si="0"/>
        <v>0</v>
      </c>
      <c r="I30" s="9">
        <f t="shared" si="1"/>
        <v>0</v>
      </c>
    </row>
    <row r="31" spans="1:9" x14ac:dyDescent="0.25">
      <c r="A31" s="6">
        <v>45286</v>
      </c>
      <c r="B31" s="5" t="s">
        <v>12</v>
      </c>
      <c r="C31" s="3">
        <v>0</v>
      </c>
      <c r="D31" s="7" t="s">
        <v>13</v>
      </c>
      <c r="E31" s="8">
        <v>0</v>
      </c>
      <c r="F31" s="28">
        <v>0</v>
      </c>
      <c r="G31" s="30">
        <v>0</v>
      </c>
      <c r="H31" s="31">
        <f t="shared" si="0"/>
        <v>0</v>
      </c>
      <c r="I31" s="9">
        <f t="shared" si="1"/>
        <v>0</v>
      </c>
    </row>
    <row r="32" spans="1:9" x14ac:dyDescent="0.25">
      <c r="A32" s="6">
        <v>45287</v>
      </c>
      <c r="B32" s="5" t="s">
        <v>12</v>
      </c>
      <c r="C32" s="3">
        <v>0</v>
      </c>
      <c r="D32" s="7" t="s">
        <v>13</v>
      </c>
      <c r="E32" s="8">
        <v>0</v>
      </c>
      <c r="F32" s="28">
        <v>0</v>
      </c>
      <c r="G32" s="30">
        <v>0</v>
      </c>
      <c r="H32" s="31">
        <f t="shared" si="0"/>
        <v>0</v>
      </c>
      <c r="I32" s="9">
        <f t="shared" si="1"/>
        <v>0</v>
      </c>
    </row>
    <row r="33" spans="1:9" x14ac:dyDescent="0.25">
      <c r="A33" s="6">
        <v>45288</v>
      </c>
      <c r="B33" s="5" t="s">
        <v>45</v>
      </c>
      <c r="C33" s="3">
        <v>100</v>
      </c>
      <c r="D33" s="7" t="s">
        <v>34</v>
      </c>
      <c r="E33" s="8">
        <v>20</v>
      </c>
      <c r="F33" s="28">
        <v>0</v>
      </c>
      <c r="G33" s="30">
        <v>0</v>
      </c>
      <c r="H33" s="31">
        <f t="shared" si="0"/>
        <v>0</v>
      </c>
      <c r="I33" s="9">
        <f t="shared" si="1"/>
        <v>0</v>
      </c>
    </row>
    <row r="34" spans="1:9" x14ac:dyDescent="0.25">
      <c r="A34" s="6">
        <v>45289</v>
      </c>
      <c r="B34" s="5" t="s">
        <v>45</v>
      </c>
      <c r="C34" s="3">
        <v>100</v>
      </c>
      <c r="D34" s="7" t="s">
        <v>13</v>
      </c>
      <c r="E34" s="8">
        <v>0</v>
      </c>
      <c r="F34" s="28">
        <v>0</v>
      </c>
      <c r="G34" s="30">
        <v>0</v>
      </c>
      <c r="H34" s="31">
        <f t="shared" si="0"/>
        <v>0</v>
      </c>
      <c r="I34" s="9">
        <f t="shared" si="1"/>
        <v>0</v>
      </c>
    </row>
    <row r="35" spans="1:9" x14ac:dyDescent="0.25">
      <c r="A35" s="6">
        <v>45290</v>
      </c>
      <c r="B35" s="5" t="s">
        <v>12</v>
      </c>
      <c r="C35" s="3">
        <v>0</v>
      </c>
      <c r="D35" s="7"/>
      <c r="E35" s="8">
        <v>0</v>
      </c>
      <c r="F35" s="28">
        <v>0</v>
      </c>
      <c r="G35" s="30">
        <v>0</v>
      </c>
      <c r="H35" s="31">
        <f t="shared" si="0"/>
        <v>0</v>
      </c>
      <c r="I35" s="9">
        <f t="shared" si="1"/>
        <v>0</v>
      </c>
    </row>
    <row r="36" spans="1:9" x14ac:dyDescent="0.25">
      <c r="A36" s="6">
        <v>45291</v>
      </c>
      <c r="B36" s="5" t="s">
        <v>12</v>
      </c>
      <c r="C36" s="3">
        <v>0</v>
      </c>
      <c r="D36" s="7"/>
      <c r="E36" s="8">
        <v>0</v>
      </c>
      <c r="F36" s="28">
        <v>0</v>
      </c>
      <c r="G36" s="30">
        <v>0</v>
      </c>
      <c r="H36" s="31">
        <f t="shared" si="0"/>
        <v>0</v>
      </c>
      <c r="I36" s="9">
        <f t="shared" si="1"/>
        <v>0</v>
      </c>
    </row>
    <row r="37" spans="1:9" x14ac:dyDescent="0.25">
      <c r="A37" s="36"/>
      <c r="B37" s="36"/>
      <c r="C37" s="36"/>
      <c r="D37" s="36"/>
      <c r="E37" s="36"/>
      <c r="F37" s="37">
        <f>SUM(F6:F36)</f>
        <v>397.5</v>
      </c>
      <c r="G37" s="37">
        <f>SUM(G6:G36)</f>
        <v>121.8</v>
      </c>
      <c r="H37" s="36"/>
      <c r="I37" s="36"/>
    </row>
  </sheetData>
  <mergeCells count="3">
    <mergeCell ref="A1:I3"/>
    <mergeCell ref="A4:I4"/>
    <mergeCell ref="O3:P3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/>
  </sheetPr>
  <dimension ref="A1:P43"/>
  <sheetViews>
    <sheetView topLeftCell="E1" workbookViewId="0">
      <selection activeCell="P7" sqref="P7"/>
    </sheetView>
  </sheetViews>
  <sheetFormatPr defaultRowHeight="15" x14ac:dyDescent="0.25"/>
  <cols>
    <col min="1" max="1" width="21.85546875" customWidth="1"/>
    <col min="2" max="2" width="36.28515625" customWidth="1"/>
    <col min="3" max="3" width="17.28515625" customWidth="1"/>
    <col min="4" max="4" width="19.85546875" customWidth="1"/>
    <col min="5" max="5" width="24.5703125" customWidth="1"/>
    <col min="6" max="6" width="31.42578125" customWidth="1"/>
    <col min="7" max="7" width="24.85546875" customWidth="1"/>
    <col min="8" max="8" width="27.85546875" customWidth="1"/>
    <col min="9" max="9" width="27.140625" customWidth="1"/>
    <col min="10" max="10" width="12.42578125" customWidth="1"/>
    <col min="15" max="15" width="53.85546875" customWidth="1"/>
    <col min="16" max="16" width="21.285156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1" customHeight="1" x14ac:dyDescent="0.3">
      <c r="A4" s="79" t="s">
        <v>46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SUM(C6:C36)</f>
        <v>2630</v>
      </c>
    </row>
    <row r="5" spans="1:16" ht="36.7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SUM(E6:E36)</f>
        <v>166.55</v>
      </c>
    </row>
    <row r="6" spans="1:16" ht="18" customHeight="1" x14ac:dyDescent="0.25">
      <c r="A6" s="6">
        <v>45292</v>
      </c>
      <c r="B6" s="5" t="s">
        <v>47</v>
      </c>
      <c r="C6" s="3">
        <v>0</v>
      </c>
      <c r="D6" s="7"/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18</v>
      </c>
    </row>
    <row r="7" spans="1:16" ht="18" customHeight="1" x14ac:dyDescent="0.25">
      <c r="A7" s="6">
        <v>45293</v>
      </c>
      <c r="B7" s="5" t="s">
        <v>27</v>
      </c>
      <c r="C7" s="3">
        <v>100</v>
      </c>
      <c r="D7" s="7" t="s">
        <v>34</v>
      </c>
      <c r="E7" s="8">
        <v>20</v>
      </c>
      <c r="F7" s="28">
        <v>0</v>
      </c>
      <c r="G7" s="30">
        <v>0</v>
      </c>
      <c r="H7" s="31">
        <v>0</v>
      </c>
      <c r="I7" s="9">
        <f t="shared" ref="I7:I36" si="0">G7*0.9</f>
        <v>0</v>
      </c>
      <c r="O7" s="13" t="s">
        <v>54</v>
      </c>
      <c r="P7" s="14">
        <f>SUM(F37+G37)</f>
        <v>1298.8</v>
      </c>
    </row>
    <row r="8" spans="1:16" ht="18" customHeight="1" x14ac:dyDescent="0.25">
      <c r="A8" s="6">
        <v>45294</v>
      </c>
      <c r="B8" s="5" t="s">
        <v>27</v>
      </c>
      <c r="C8" s="3">
        <v>100</v>
      </c>
      <c r="D8" s="7" t="s">
        <v>13</v>
      </c>
      <c r="E8" s="8">
        <v>0</v>
      </c>
      <c r="F8" s="28">
        <v>193</v>
      </c>
      <c r="G8" s="30">
        <v>0</v>
      </c>
      <c r="H8" s="31">
        <f t="shared" ref="H8:H36" si="1">F8*0.85</f>
        <v>164.04999999999998</v>
      </c>
      <c r="I8" s="9">
        <f t="shared" si="0"/>
        <v>0</v>
      </c>
      <c r="O8" s="20" t="s">
        <v>18</v>
      </c>
      <c r="P8" s="21">
        <f>SUM(P5+P4)</f>
        <v>2796.55</v>
      </c>
    </row>
    <row r="9" spans="1:16" ht="17.25" customHeight="1" x14ac:dyDescent="0.25">
      <c r="A9" s="6">
        <v>45295</v>
      </c>
      <c r="B9" s="5" t="s">
        <v>47</v>
      </c>
      <c r="C9" s="3">
        <v>0</v>
      </c>
      <c r="D9" s="7" t="s">
        <v>13</v>
      </c>
      <c r="E9" s="8">
        <v>0</v>
      </c>
      <c r="F9" s="28">
        <v>0</v>
      </c>
      <c r="G9" s="30">
        <v>0</v>
      </c>
      <c r="H9" s="31">
        <f t="shared" si="1"/>
        <v>0</v>
      </c>
      <c r="I9" s="9">
        <f t="shared" si="0"/>
        <v>0</v>
      </c>
      <c r="O9" s="22" t="s">
        <v>21</v>
      </c>
      <c r="P9" s="33">
        <f>SUM(H6:H36)</f>
        <v>1103.98</v>
      </c>
    </row>
    <row r="10" spans="1:16" ht="15.75" customHeight="1" x14ac:dyDescent="0.25">
      <c r="A10" s="6">
        <v>45296</v>
      </c>
      <c r="B10" s="5" t="s">
        <v>65</v>
      </c>
      <c r="C10" s="3">
        <v>240</v>
      </c>
      <c r="D10" s="7" t="s">
        <v>34</v>
      </c>
      <c r="E10" s="8">
        <v>20</v>
      </c>
      <c r="F10" s="28">
        <v>29.5</v>
      </c>
      <c r="G10" s="30">
        <v>0</v>
      </c>
      <c r="H10" s="31">
        <f t="shared" si="1"/>
        <v>25.074999999999999</v>
      </c>
      <c r="I10" s="9">
        <f t="shared" si="0"/>
        <v>0</v>
      </c>
      <c r="O10" s="23" t="s">
        <v>22</v>
      </c>
      <c r="P10" s="9">
        <f>SUM(I6:I36)</f>
        <v>0</v>
      </c>
    </row>
    <row r="11" spans="1:16" x14ac:dyDescent="0.25">
      <c r="A11" s="6">
        <v>45297</v>
      </c>
      <c r="B11" s="5" t="s">
        <v>48</v>
      </c>
      <c r="C11" s="3">
        <v>80</v>
      </c>
      <c r="D11" s="7" t="s">
        <v>13</v>
      </c>
      <c r="E11" s="8">
        <v>0</v>
      </c>
      <c r="F11" s="28">
        <v>73.599999999999994</v>
      </c>
      <c r="G11" s="30">
        <v>0</v>
      </c>
      <c r="H11" s="31">
        <f t="shared" si="1"/>
        <v>62.559999999999995</v>
      </c>
      <c r="I11" s="9">
        <f t="shared" si="0"/>
        <v>0</v>
      </c>
      <c r="O11" s="24" t="s">
        <v>24</v>
      </c>
      <c r="P11" s="34">
        <f>P9+P10</f>
        <v>1103.98</v>
      </c>
    </row>
    <row r="12" spans="1:16" ht="16.5" customHeight="1" x14ac:dyDescent="0.25">
      <c r="A12" s="6">
        <v>45298</v>
      </c>
      <c r="B12" s="5" t="s">
        <v>47</v>
      </c>
      <c r="C12" s="3">
        <v>0</v>
      </c>
      <c r="D12" s="7" t="s">
        <v>13</v>
      </c>
      <c r="E12" s="8">
        <v>0</v>
      </c>
      <c r="F12" s="28">
        <v>0</v>
      </c>
      <c r="G12" s="30">
        <v>0</v>
      </c>
      <c r="H12" s="31">
        <f t="shared" si="1"/>
        <v>0</v>
      </c>
      <c r="I12" s="9">
        <f t="shared" si="0"/>
        <v>0</v>
      </c>
      <c r="O12" s="25" t="s">
        <v>26</v>
      </c>
      <c r="P12" s="26">
        <f>SUM(P8+P11)</f>
        <v>3900.53</v>
      </c>
    </row>
    <row r="13" spans="1:16" x14ac:dyDescent="0.25">
      <c r="A13" s="6">
        <v>45299</v>
      </c>
      <c r="B13" s="5" t="s">
        <v>49</v>
      </c>
      <c r="C13" s="3">
        <v>150</v>
      </c>
      <c r="D13" s="7" t="s">
        <v>34</v>
      </c>
      <c r="E13" s="8">
        <v>20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45300</v>
      </c>
      <c r="B14" s="5" t="s">
        <v>50</v>
      </c>
      <c r="C14" s="3">
        <v>120</v>
      </c>
      <c r="D14" s="7" t="s">
        <v>13</v>
      </c>
      <c r="E14" s="8">
        <v>0</v>
      </c>
      <c r="F14" s="28">
        <v>103.7</v>
      </c>
      <c r="G14" s="30">
        <v>0</v>
      </c>
      <c r="H14" s="31">
        <f t="shared" si="1"/>
        <v>88.144999999999996</v>
      </c>
      <c r="I14" s="9">
        <f t="shared" si="0"/>
        <v>0</v>
      </c>
    </row>
    <row r="15" spans="1:16" x14ac:dyDescent="0.25">
      <c r="A15" s="6">
        <v>45301</v>
      </c>
      <c r="B15" s="5" t="s">
        <v>47</v>
      </c>
      <c r="C15" s="3">
        <v>0</v>
      </c>
      <c r="D15" s="7" t="s">
        <v>13</v>
      </c>
      <c r="E15" s="8">
        <v>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45302</v>
      </c>
      <c r="B16" s="5" t="s">
        <v>53</v>
      </c>
      <c r="C16" s="3">
        <v>200</v>
      </c>
      <c r="D16" s="7" t="s">
        <v>34</v>
      </c>
      <c r="E16" s="8">
        <v>20</v>
      </c>
      <c r="F16" s="28">
        <v>102</v>
      </c>
      <c r="G16" s="30">
        <v>0</v>
      </c>
      <c r="H16" s="31">
        <f t="shared" si="1"/>
        <v>86.7</v>
      </c>
      <c r="I16" s="9">
        <f t="shared" si="0"/>
        <v>0</v>
      </c>
    </row>
    <row r="17" spans="1:9" x14ac:dyDescent="0.25">
      <c r="A17" s="6">
        <v>45303</v>
      </c>
      <c r="B17" s="5" t="s">
        <v>52</v>
      </c>
      <c r="C17" s="3">
        <v>190</v>
      </c>
      <c r="D17" s="7" t="s">
        <v>13</v>
      </c>
      <c r="E17" s="8">
        <v>0</v>
      </c>
      <c r="F17" s="28">
        <v>102</v>
      </c>
      <c r="G17" s="30">
        <v>0</v>
      </c>
      <c r="H17" s="31">
        <f t="shared" si="1"/>
        <v>86.7</v>
      </c>
      <c r="I17" s="9">
        <f t="shared" si="0"/>
        <v>0</v>
      </c>
    </row>
    <row r="18" spans="1:9" x14ac:dyDescent="0.25">
      <c r="A18" s="6">
        <v>45304</v>
      </c>
      <c r="B18" s="5" t="s">
        <v>51</v>
      </c>
      <c r="C18" s="3">
        <v>150</v>
      </c>
      <c r="D18" s="7" t="s">
        <v>13</v>
      </c>
      <c r="E18" s="8">
        <v>0</v>
      </c>
      <c r="F18" s="28">
        <v>104</v>
      </c>
      <c r="G18" s="30">
        <v>0</v>
      </c>
      <c r="H18" s="31">
        <f t="shared" si="1"/>
        <v>88.399999999999991</v>
      </c>
      <c r="I18" s="9">
        <f t="shared" si="0"/>
        <v>0</v>
      </c>
    </row>
    <row r="19" spans="1:9" x14ac:dyDescent="0.25">
      <c r="A19" s="6">
        <v>45305</v>
      </c>
      <c r="B19" s="5" t="s">
        <v>47</v>
      </c>
      <c r="C19" s="3">
        <v>0</v>
      </c>
      <c r="D19" s="7" t="s">
        <v>13</v>
      </c>
      <c r="E19" s="8">
        <v>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45306</v>
      </c>
      <c r="B20" s="5" t="s">
        <v>47</v>
      </c>
      <c r="C20" s="3">
        <v>0</v>
      </c>
      <c r="D20" s="7" t="s">
        <v>13</v>
      </c>
      <c r="E20" s="8">
        <v>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45307</v>
      </c>
      <c r="B21" s="5" t="s">
        <v>58</v>
      </c>
      <c r="C21" s="3">
        <v>220</v>
      </c>
      <c r="D21" s="7" t="s">
        <v>34</v>
      </c>
      <c r="E21" s="8">
        <v>20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45308</v>
      </c>
      <c r="B22" s="5" t="s">
        <v>47</v>
      </c>
      <c r="C22" s="3">
        <v>0</v>
      </c>
      <c r="D22" s="7" t="s">
        <v>25</v>
      </c>
      <c r="E22" s="8">
        <v>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45309</v>
      </c>
      <c r="B23" s="5" t="s">
        <v>47</v>
      </c>
      <c r="C23" s="3">
        <v>0</v>
      </c>
      <c r="D23" s="7" t="s">
        <v>13</v>
      </c>
      <c r="E23" s="8">
        <v>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45310</v>
      </c>
      <c r="B24" s="5" t="s">
        <v>27</v>
      </c>
      <c r="C24" s="3">
        <v>100</v>
      </c>
      <c r="D24" s="7" t="s">
        <v>34</v>
      </c>
      <c r="E24" s="8">
        <v>20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45311</v>
      </c>
      <c r="B25" s="5" t="s">
        <v>59</v>
      </c>
      <c r="C25" s="3">
        <v>0</v>
      </c>
      <c r="D25" s="7" t="s">
        <v>13</v>
      </c>
      <c r="E25" s="8">
        <v>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45312</v>
      </c>
      <c r="B26" s="5" t="s">
        <v>59</v>
      </c>
      <c r="C26" s="3">
        <v>0</v>
      </c>
      <c r="D26" s="7" t="s">
        <v>13</v>
      </c>
      <c r="E26" s="8">
        <v>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45313</v>
      </c>
      <c r="B27" s="5" t="s">
        <v>60</v>
      </c>
      <c r="C27" s="3">
        <v>140</v>
      </c>
      <c r="D27" s="7" t="s">
        <v>13</v>
      </c>
      <c r="E27" s="8">
        <v>0</v>
      </c>
      <c r="F27" s="28">
        <v>181</v>
      </c>
      <c r="G27" s="30">
        <v>0</v>
      </c>
      <c r="H27" s="31">
        <f t="shared" si="1"/>
        <v>153.85</v>
      </c>
      <c r="I27" s="9">
        <f t="shared" si="0"/>
        <v>0</v>
      </c>
    </row>
    <row r="28" spans="1:9" x14ac:dyDescent="0.25">
      <c r="A28" s="6">
        <v>45314</v>
      </c>
      <c r="B28" s="5" t="s">
        <v>61</v>
      </c>
      <c r="C28" s="3">
        <v>120</v>
      </c>
      <c r="D28" s="7" t="s">
        <v>13</v>
      </c>
      <c r="E28" s="8">
        <v>0</v>
      </c>
      <c r="F28" s="28">
        <v>100</v>
      </c>
      <c r="G28" s="30">
        <v>0</v>
      </c>
      <c r="H28" s="31">
        <f t="shared" si="1"/>
        <v>85</v>
      </c>
      <c r="I28" s="9">
        <f t="shared" si="0"/>
        <v>0</v>
      </c>
    </row>
    <row r="29" spans="1:9" x14ac:dyDescent="0.25">
      <c r="A29" s="6">
        <v>45315</v>
      </c>
      <c r="B29" s="5" t="s">
        <v>61</v>
      </c>
      <c r="C29" s="3">
        <v>120</v>
      </c>
      <c r="D29" s="7" t="s">
        <v>13</v>
      </c>
      <c r="E29" s="8">
        <v>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45316</v>
      </c>
      <c r="B30" s="5" t="s">
        <v>47</v>
      </c>
      <c r="C30" s="3">
        <v>0</v>
      </c>
      <c r="D30" s="7" t="s">
        <v>25</v>
      </c>
      <c r="E30" s="8">
        <v>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45317</v>
      </c>
      <c r="B31" s="5" t="s">
        <v>62</v>
      </c>
      <c r="C31" s="3">
        <v>100</v>
      </c>
      <c r="D31" s="7" t="s">
        <v>34</v>
      </c>
      <c r="E31" s="8">
        <v>20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45318</v>
      </c>
      <c r="B32" s="5" t="s">
        <v>47</v>
      </c>
      <c r="C32" s="3">
        <v>0</v>
      </c>
      <c r="D32" s="7" t="s">
        <v>13</v>
      </c>
      <c r="E32" s="8">
        <v>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45319</v>
      </c>
      <c r="B33" s="5" t="s">
        <v>47</v>
      </c>
      <c r="C33" s="3">
        <v>0</v>
      </c>
      <c r="D33" s="7" t="s">
        <v>13</v>
      </c>
      <c r="E33" s="8">
        <v>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45320</v>
      </c>
      <c r="B34" s="5" t="s">
        <v>63</v>
      </c>
      <c r="C34" s="3">
        <v>200</v>
      </c>
      <c r="D34" s="7" t="s">
        <v>64</v>
      </c>
      <c r="E34" s="8">
        <v>6.55</v>
      </c>
      <c r="F34" s="28">
        <v>125</v>
      </c>
      <c r="G34" s="30">
        <v>0</v>
      </c>
      <c r="H34" s="31">
        <f t="shared" si="1"/>
        <v>106.25</v>
      </c>
      <c r="I34" s="9">
        <f t="shared" si="0"/>
        <v>0</v>
      </c>
    </row>
    <row r="35" spans="1:9" x14ac:dyDescent="0.25">
      <c r="A35" s="6">
        <v>45321</v>
      </c>
      <c r="B35" s="5" t="s">
        <v>27</v>
      </c>
      <c r="C35" s="3">
        <v>100</v>
      </c>
      <c r="D35" s="7" t="s">
        <v>13</v>
      </c>
      <c r="E35" s="8">
        <v>0</v>
      </c>
      <c r="F35" s="28">
        <v>104</v>
      </c>
      <c r="G35" s="30">
        <v>0</v>
      </c>
      <c r="H35" s="31">
        <f t="shared" si="1"/>
        <v>88.399999999999991</v>
      </c>
      <c r="I35" s="9">
        <f t="shared" si="0"/>
        <v>0</v>
      </c>
    </row>
    <row r="36" spans="1:9" x14ac:dyDescent="0.25">
      <c r="A36" s="6">
        <v>45322</v>
      </c>
      <c r="B36" s="5" t="s">
        <v>63</v>
      </c>
      <c r="C36" s="3">
        <v>200</v>
      </c>
      <c r="D36" s="7" t="s">
        <v>34</v>
      </c>
      <c r="E36" s="8">
        <v>20</v>
      </c>
      <c r="F36" s="28">
        <v>81</v>
      </c>
      <c r="G36" s="30">
        <v>0</v>
      </c>
      <c r="H36" s="31">
        <f t="shared" si="1"/>
        <v>68.849999999999994</v>
      </c>
      <c r="I36" s="9">
        <f t="shared" si="0"/>
        <v>0</v>
      </c>
    </row>
    <row r="37" spans="1:9" x14ac:dyDescent="0.25">
      <c r="A37" s="36"/>
      <c r="B37" s="36"/>
      <c r="C37" s="36"/>
      <c r="D37" s="36"/>
      <c r="E37" s="36"/>
      <c r="F37" s="37">
        <f>SUM(F6:F36)</f>
        <v>1298.8</v>
      </c>
      <c r="G37" s="37">
        <f>SUM(G6:G36)</f>
        <v>0</v>
      </c>
      <c r="H37" s="36"/>
      <c r="I37" s="36"/>
    </row>
    <row r="43" spans="1:9" x14ac:dyDescent="0.25">
      <c r="G43">
        <f ca="1">G43:I66</f>
        <v>0</v>
      </c>
    </row>
  </sheetData>
  <mergeCells count="3">
    <mergeCell ref="A1:I3"/>
    <mergeCell ref="O3:P3"/>
    <mergeCell ref="A4:I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P35"/>
  <sheetViews>
    <sheetView topLeftCell="C7" workbookViewId="0">
      <selection activeCell="P7" sqref="P7"/>
    </sheetView>
  </sheetViews>
  <sheetFormatPr defaultRowHeight="15" x14ac:dyDescent="0.25"/>
  <cols>
    <col min="1" max="1" width="19.28515625" customWidth="1"/>
    <col min="2" max="2" width="33.85546875" customWidth="1"/>
    <col min="3" max="3" width="16.7109375" customWidth="1"/>
    <col min="4" max="4" width="14.7109375" customWidth="1"/>
    <col min="5" max="5" width="16.28515625" customWidth="1"/>
    <col min="6" max="6" width="19.42578125" customWidth="1"/>
    <col min="7" max="7" width="20.42578125" customWidth="1"/>
    <col min="8" max="8" width="22" customWidth="1"/>
    <col min="9" max="9" width="20" customWidth="1"/>
    <col min="15" max="15" width="43.5703125" customWidth="1"/>
    <col min="16" max="16" width="26.1406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18.75" x14ac:dyDescent="0.3">
      <c r="A4" s="81" t="s">
        <v>55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SUM(C6:C34)</f>
        <v>1780</v>
      </c>
    </row>
    <row r="5" spans="1:16" ht="27.7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SUM(E6:E34)</f>
        <v>80</v>
      </c>
    </row>
    <row r="6" spans="1:16" ht="14.25" customHeight="1" x14ac:dyDescent="0.25">
      <c r="A6" s="6">
        <v>45323</v>
      </c>
      <c r="B6" s="5" t="s">
        <v>27</v>
      </c>
      <c r="C6" s="3">
        <v>100</v>
      </c>
      <c r="D6" s="7" t="s">
        <v>13</v>
      </c>
      <c r="E6" s="8">
        <v>0</v>
      </c>
      <c r="F6" s="28">
        <v>100</v>
      </c>
      <c r="G6" s="30">
        <v>0</v>
      </c>
      <c r="H6" s="31">
        <f>F6*0.85</f>
        <v>85</v>
      </c>
      <c r="I6" s="9">
        <f>G6*0.9</f>
        <v>0</v>
      </c>
      <c r="O6" s="11" t="s">
        <v>16</v>
      </c>
      <c r="P6" s="12">
        <v>11</v>
      </c>
    </row>
    <row r="7" spans="1:16" ht="15" customHeight="1" x14ac:dyDescent="0.25">
      <c r="A7" s="6">
        <v>45324</v>
      </c>
      <c r="B7" s="5" t="s">
        <v>66</v>
      </c>
      <c r="C7" s="3">
        <v>0</v>
      </c>
      <c r="D7" s="7" t="s">
        <v>25</v>
      </c>
      <c r="E7" s="8">
        <v>0</v>
      </c>
      <c r="F7" s="28">
        <v>0</v>
      </c>
      <c r="G7" s="30">
        <v>0</v>
      </c>
      <c r="H7" s="31">
        <v>0</v>
      </c>
      <c r="I7" s="9">
        <f t="shared" ref="I7:I34" si="0">G7*0.9</f>
        <v>0</v>
      </c>
      <c r="O7" s="13" t="s">
        <v>54</v>
      </c>
      <c r="P7" s="14">
        <f>SUM(F35+G35)</f>
        <v>1156</v>
      </c>
    </row>
    <row r="8" spans="1:16" ht="17.25" customHeight="1" x14ac:dyDescent="0.25">
      <c r="A8" s="6">
        <v>45325</v>
      </c>
      <c r="B8" s="5" t="s">
        <v>72</v>
      </c>
      <c r="C8" s="3">
        <v>100</v>
      </c>
      <c r="D8" s="7" t="s">
        <v>25</v>
      </c>
      <c r="E8" s="8">
        <v>0</v>
      </c>
      <c r="F8" s="28">
        <v>0</v>
      </c>
      <c r="G8" s="30">
        <v>0</v>
      </c>
      <c r="H8" s="31">
        <f t="shared" ref="H8:H34" si="1">F8*0.85</f>
        <v>0</v>
      </c>
      <c r="I8" s="9">
        <f t="shared" si="0"/>
        <v>0</v>
      </c>
      <c r="O8" s="20" t="s">
        <v>18</v>
      </c>
      <c r="P8" s="21">
        <f>SUM(P5+P4)</f>
        <v>1860</v>
      </c>
    </row>
    <row r="9" spans="1:16" x14ac:dyDescent="0.25">
      <c r="A9" s="6">
        <v>45326</v>
      </c>
      <c r="B9" s="5" t="s">
        <v>40</v>
      </c>
      <c r="C9" s="3">
        <v>200</v>
      </c>
      <c r="D9" s="7" t="s">
        <v>13</v>
      </c>
      <c r="E9" s="8">
        <v>0</v>
      </c>
      <c r="F9" s="28">
        <v>324</v>
      </c>
      <c r="G9" s="30">
        <v>0</v>
      </c>
      <c r="H9" s="31">
        <f t="shared" si="1"/>
        <v>275.39999999999998</v>
      </c>
      <c r="I9" s="9">
        <f t="shared" si="0"/>
        <v>0</v>
      </c>
      <c r="O9" s="22" t="s">
        <v>21</v>
      </c>
      <c r="P9" s="33">
        <f>SUM(H6:H34)</f>
        <v>982.5999999999998</v>
      </c>
    </row>
    <row r="10" spans="1:16" x14ac:dyDescent="0.25">
      <c r="A10" s="6">
        <v>45327</v>
      </c>
      <c r="B10" s="5" t="s">
        <v>40</v>
      </c>
      <c r="C10" s="3">
        <v>200</v>
      </c>
      <c r="D10" s="7" t="s">
        <v>34</v>
      </c>
      <c r="E10" s="8">
        <v>20</v>
      </c>
      <c r="F10" s="28">
        <v>0</v>
      </c>
      <c r="G10" s="30">
        <v>0</v>
      </c>
      <c r="H10" s="31">
        <f t="shared" si="1"/>
        <v>0</v>
      </c>
      <c r="I10" s="9">
        <f t="shared" si="0"/>
        <v>0</v>
      </c>
      <c r="O10" s="23" t="s">
        <v>22</v>
      </c>
      <c r="P10" s="9">
        <f>SUM(I6:I34)</f>
        <v>0</v>
      </c>
    </row>
    <row r="11" spans="1:16" ht="15.75" customHeight="1" x14ac:dyDescent="0.25">
      <c r="A11" s="6">
        <v>45328</v>
      </c>
      <c r="B11" s="5" t="s">
        <v>19</v>
      </c>
      <c r="C11" s="3">
        <v>70</v>
      </c>
      <c r="D11" s="7" t="s">
        <v>34</v>
      </c>
      <c r="E11" s="8">
        <v>20</v>
      </c>
      <c r="F11" s="28">
        <v>0</v>
      </c>
      <c r="G11" s="30">
        <v>0</v>
      </c>
      <c r="H11" s="31">
        <f t="shared" si="1"/>
        <v>0</v>
      </c>
      <c r="I11" s="9">
        <f t="shared" si="0"/>
        <v>0</v>
      </c>
      <c r="O11" s="24" t="s">
        <v>24</v>
      </c>
      <c r="P11" s="34">
        <f>P9+P10</f>
        <v>982.5999999999998</v>
      </c>
    </row>
    <row r="12" spans="1:16" ht="12.75" customHeight="1" x14ac:dyDescent="0.25">
      <c r="A12" s="6">
        <v>45329</v>
      </c>
      <c r="B12" s="5" t="s">
        <v>23</v>
      </c>
      <c r="C12" s="3">
        <v>100</v>
      </c>
      <c r="D12" s="7" t="s">
        <v>13</v>
      </c>
      <c r="E12" s="8">
        <v>0</v>
      </c>
      <c r="F12" s="28">
        <v>183</v>
      </c>
      <c r="G12" s="30">
        <v>0</v>
      </c>
      <c r="H12" s="31">
        <f t="shared" si="1"/>
        <v>155.54999999999998</v>
      </c>
      <c r="I12" s="9">
        <f t="shared" si="0"/>
        <v>0</v>
      </c>
      <c r="O12" s="25" t="s">
        <v>67</v>
      </c>
      <c r="P12" s="26">
        <f>SUM(P8+P11)</f>
        <v>2842.6</v>
      </c>
    </row>
    <row r="13" spans="1:16" x14ac:dyDescent="0.25">
      <c r="A13" s="6">
        <v>45330</v>
      </c>
      <c r="B13" s="5" t="s">
        <v>40</v>
      </c>
      <c r="C13" s="3">
        <v>200</v>
      </c>
      <c r="D13" s="7" t="s">
        <v>13</v>
      </c>
      <c r="E13" s="8">
        <v>0</v>
      </c>
      <c r="F13" s="28">
        <v>183</v>
      </c>
      <c r="G13" s="30">
        <v>0</v>
      </c>
      <c r="H13" s="31">
        <f t="shared" si="1"/>
        <v>155.54999999999998</v>
      </c>
      <c r="I13" s="9">
        <f t="shared" si="0"/>
        <v>0</v>
      </c>
    </row>
    <row r="14" spans="1:16" x14ac:dyDescent="0.25">
      <c r="A14" s="6">
        <v>45331</v>
      </c>
      <c r="B14" s="5" t="s">
        <v>73</v>
      </c>
      <c r="C14" s="3">
        <v>170</v>
      </c>
      <c r="D14" s="7" t="s">
        <v>25</v>
      </c>
      <c r="E14" s="8">
        <v>0</v>
      </c>
      <c r="F14" s="28">
        <v>183</v>
      </c>
      <c r="G14" s="30">
        <v>0</v>
      </c>
      <c r="H14" s="31">
        <f t="shared" si="1"/>
        <v>155.54999999999998</v>
      </c>
      <c r="I14" s="9">
        <f t="shared" si="0"/>
        <v>0</v>
      </c>
    </row>
    <row r="15" spans="1:16" x14ac:dyDescent="0.25">
      <c r="A15" s="6">
        <v>45332</v>
      </c>
      <c r="B15" s="5" t="s">
        <v>66</v>
      </c>
      <c r="C15" s="3">
        <v>0</v>
      </c>
      <c r="D15" s="7" t="s">
        <v>13</v>
      </c>
      <c r="E15" s="8">
        <v>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45333</v>
      </c>
      <c r="B16" s="5" t="s">
        <v>66</v>
      </c>
      <c r="C16" s="3">
        <v>0</v>
      </c>
      <c r="D16" s="7" t="s">
        <v>13</v>
      </c>
      <c r="E16" s="8">
        <v>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45334</v>
      </c>
      <c r="B17" s="5" t="s">
        <v>66</v>
      </c>
      <c r="C17" s="3">
        <v>0</v>
      </c>
      <c r="D17" s="7" t="s">
        <v>13</v>
      </c>
      <c r="E17" s="8">
        <v>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45335</v>
      </c>
      <c r="B18" s="5" t="s">
        <v>66</v>
      </c>
      <c r="C18" s="3">
        <v>0</v>
      </c>
      <c r="D18" s="7" t="s">
        <v>13</v>
      </c>
      <c r="E18" s="8">
        <v>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45336</v>
      </c>
      <c r="B19" s="5" t="s">
        <v>66</v>
      </c>
      <c r="C19" s="3">
        <v>0</v>
      </c>
      <c r="D19" s="7" t="s">
        <v>13</v>
      </c>
      <c r="E19" s="8">
        <v>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45337</v>
      </c>
      <c r="B20" s="5" t="s">
        <v>74</v>
      </c>
      <c r="C20" s="3">
        <v>220</v>
      </c>
      <c r="D20" s="7" t="s">
        <v>34</v>
      </c>
      <c r="E20" s="8">
        <v>20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45338</v>
      </c>
      <c r="B21" s="5" t="s">
        <v>75</v>
      </c>
      <c r="C21" s="3">
        <v>270</v>
      </c>
      <c r="D21" s="7" t="s">
        <v>13</v>
      </c>
      <c r="E21" s="8">
        <v>0</v>
      </c>
      <c r="F21" s="28">
        <v>183</v>
      </c>
      <c r="G21" s="30">
        <v>0</v>
      </c>
      <c r="H21" s="31">
        <f t="shared" si="1"/>
        <v>155.54999999999998</v>
      </c>
      <c r="I21" s="9">
        <f t="shared" si="0"/>
        <v>0</v>
      </c>
    </row>
    <row r="22" spans="1:9" x14ac:dyDescent="0.25">
      <c r="A22" s="6">
        <v>45339</v>
      </c>
      <c r="B22" s="5" t="s">
        <v>76</v>
      </c>
      <c r="C22" s="3">
        <v>150</v>
      </c>
      <c r="D22" s="7" t="s">
        <v>34</v>
      </c>
      <c r="E22" s="8">
        <v>20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45340</v>
      </c>
      <c r="B23" s="5" t="s">
        <v>66</v>
      </c>
      <c r="C23" s="3">
        <v>0</v>
      </c>
      <c r="D23" s="7" t="s">
        <v>13</v>
      </c>
      <c r="E23" s="8">
        <v>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45341</v>
      </c>
      <c r="B24" s="5" t="s">
        <v>66</v>
      </c>
      <c r="C24" s="3">
        <v>0</v>
      </c>
      <c r="D24" s="7" t="s">
        <v>13</v>
      </c>
      <c r="E24" s="8">
        <v>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45342</v>
      </c>
      <c r="B25" s="5" t="s">
        <v>66</v>
      </c>
      <c r="C25" s="3">
        <v>0</v>
      </c>
      <c r="D25" s="7" t="s">
        <v>13</v>
      </c>
      <c r="E25" s="8">
        <v>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45343</v>
      </c>
      <c r="B26" s="5" t="s">
        <v>66</v>
      </c>
      <c r="C26" s="3">
        <v>0</v>
      </c>
      <c r="D26" s="7" t="s">
        <v>13</v>
      </c>
      <c r="E26" s="8">
        <v>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45344</v>
      </c>
      <c r="B27" s="5" t="s">
        <v>66</v>
      </c>
      <c r="C27" s="3">
        <v>0</v>
      </c>
      <c r="D27" s="7" t="s">
        <v>13</v>
      </c>
      <c r="E27" s="8">
        <v>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45345</v>
      </c>
      <c r="B28" s="5" t="s">
        <v>66</v>
      </c>
      <c r="C28" s="3">
        <v>0</v>
      </c>
      <c r="D28" s="7" t="s">
        <v>13</v>
      </c>
      <c r="E28" s="8">
        <v>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45346</v>
      </c>
      <c r="B29" s="5" t="s">
        <v>66</v>
      </c>
      <c r="C29" s="3">
        <v>0</v>
      </c>
      <c r="D29" s="7" t="s">
        <v>13</v>
      </c>
      <c r="E29" s="8">
        <v>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45347</v>
      </c>
      <c r="B30" s="5" t="s">
        <v>66</v>
      </c>
      <c r="C30" s="3">
        <v>0</v>
      </c>
      <c r="D30" s="7" t="s">
        <v>13</v>
      </c>
      <c r="E30" s="8">
        <v>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45348</v>
      </c>
      <c r="B31" s="5" t="s">
        <v>66</v>
      </c>
      <c r="C31" s="3">
        <v>0</v>
      </c>
      <c r="D31" s="7" t="s">
        <v>13</v>
      </c>
      <c r="E31" s="8">
        <v>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45349</v>
      </c>
      <c r="B32" s="5" t="s">
        <v>66</v>
      </c>
      <c r="C32" s="3">
        <v>0</v>
      </c>
      <c r="D32" s="7" t="s">
        <v>13</v>
      </c>
      <c r="E32" s="8">
        <v>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45350</v>
      </c>
      <c r="B33" s="5" t="s">
        <v>66</v>
      </c>
      <c r="C33" s="3">
        <v>0</v>
      </c>
      <c r="D33" s="7" t="s">
        <v>13</v>
      </c>
      <c r="E33" s="8">
        <v>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45351</v>
      </c>
      <c r="B34" s="5" t="s">
        <v>66</v>
      </c>
      <c r="C34" s="3">
        <v>0</v>
      </c>
      <c r="D34" s="7" t="s">
        <v>13</v>
      </c>
      <c r="E34" s="8">
        <v>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F35" s="40">
        <f>SUM(F6:F34)</f>
        <v>1156</v>
      </c>
      <c r="G35" s="40">
        <f>SUM(G6:G34)</f>
        <v>0</v>
      </c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FF"/>
  </sheetPr>
  <dimension ref="A1:P37"/>
  <sheetViews>
    <sheetView topLeftCell="A4" workbookViewId="0">
      <selection activeCell="E36" sqref="E36"/>
    </sheetView>
  </sheetViews>
  <sheetFormatPr defaultRowHeight="15" x14ac:dyDescent="0.25"/>
  <cols>
    <col min="1" max="1" width="15.42578125" customWidth="1"/>
    <col min="2" max="2" width="40.42578125" bestFit="1" customWidth="1"/>
    <col min="3" max="3" width="16.42578125" customWidth="1"/>
    <col min="4" max="4" width="14.85546875" customWidth="1"/>
    <col min="5" max="5" width="20.7109375" customWidth="1"/>
    <col min="6" max="6" width="22.140625" customWidth="1"/>
    <col min="7" max="7" width="23.28515625" customWidth="1"/>
    <col min="8" max="8" width="21.7109375" customWidth="1"/>
    <col min="9" max="9" width="25.28515625" customWidth="1"/>
    <col min="15" max="15" width="41.85546875" customWidth="1"/>
    <col min="16" max="16" width="33.1406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3.25" customHeight="1" x14ac:dyDescent="0.3">
      <c r="A4" s="81" t="s">
        <v>56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SUM(C6:C36)</f>
        <v>3260</v>
      </c>
    </row>
    <row r="5" spans="1:16" ht="31.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SUM(E6:E36)</f>
        <v>240</v>
      </c>
    </row>
    <row r="6" spans="1:16" ht="17.25" customHeight="1" x14ac:dyDescent="0.25">
      <c r="A6" s="6">
        <v>45352</v>
      </c>
      <c r="B6" s="5" t="s">
        <v>47</v>
      </c>
      <c r="C6" s="3">
        <v>0</v>
      </c>
      <c r="D6" s="7" t="s">
        <v>13</v>
      </c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45353</v>
      </c>
      <c r="B7" s="5" t="s">
        <v>47</v>
      </c>
      <c r="C7" s="3">
        <v>0</v>
      </c>
      <c r="D7" s="7" t="s">
        <v>13</v>
      </c>
      <c r="E7" s="8">
        <v>0</v>
      </c>
      <c r="F7" s="28">
        <v>0</v>
      </c>
      <c r="G7" s="30">
        <v>0</v>
      </c>
      <c r="H7" s="31">
        <v>0</v>
      </c>
      <c r="I7" s="9">
        <f t="shared" ref="I7:I36" si="0">G7*0.9</f>
        <v>0</v>
      </c>
      <c r="O7" s="13" t="s">
        <v>54</v>
      </c>
      <c r="P7" s="14">
        <f>SUM(F37+G37)</f>
        <v>896.4</v>
      </c>
    </row>
    <row r="8" spans="1:16" x14ac:dyDescent="0.25">
      <c r="A8" s="6">
        <v>45354</v>
      </c>
      <c r="B8" s="5" t="s">
        <v>47</v>
      </c>
      <c r="C8" s="3">
        <v>0</v>
      </c>
      <c r="D8" s="7" t="s">
        <v>13</v>
      </c>
      <c r="E8" s="8">
        <v>0</v>
      </c>
      <c r="F8" s="28">
        <v>0</v>
      </c>
      <c r="G8" s="30">
        <v>0</v>
      </c>
      <c r="H8" s="31">
        <f t="shared" ref="H8:H36" si="1">F8*0.85</f>
        <v>0</v>
      </c>
      <c r="I8" s="9">
        <f t="shared" si="0"/>
        <v>0</v>
      </c>
      <c r="O8" s="20" t="s">
        <v>18</v>
      </c>
      <c r="P8" s="21">
        <f>SUM(P5+P4)</f>
        <v>3500</v>
      </c>
    </row>
    <row r="9" spans="1:16" x14ac:dyDescent="0.25">
      <c r="A9" s="6">
        <v>45355</v>
      </c>
      <c r="B9" s="5" t="s">
        <v>47</v>
      </c>
      <c r="C9" s="3">
        <v>0</v>
      </c>
      <c r="D9" s="7" t="s">
        <v>13</v>
      </c>
      <c r="E9" s="8">
        <v>0</v>
      </c>
      <c r="F9" s="28">
        <v>0</v>
      </c>
      <c r="G9" s="30">
        <v>0</v>
      </c>
      <c r="H9" s="31">
        <f t="shared" si="1"/>
        <v>0</v>
      </c>
      <c r="I9" s="9">
        <f t="shared" si="0"/>
        <v>0</v>
      </c>
      <c r="O9" s="22" t="s">
        <v>21</v>
      </c>
      <c r="P9" s="33">
        <f>SUM(H6:H36)</f>
        <v>675.24</v>
      </c>
    </row>
    <row r="10" spans="1:16" x14ac:dyDescent="0.25">
      <c r="A10" s="6">
        <v>45356</v>
      </c>
      <c r="B10" s="5" t="s">
        <v>47</v>
      </c>
      <c r="C10" s="3">
        <v>0</v>
      </c>
      <c r="D10" s="7" t="s">
        <v>13</v>
      </c>
      <c r="E10" s="8">
        <v>0</v>
      </c>
      <c r="F10" s="28">
        <v>0</v>
      </c>
      <c r="G10" s="30">
        <v>0</v>
      </c>
      <c r="H10" s="31">
        <f t="shared" si="1"/>
        <v>0</v>
      </c>
      <c r="I10" s="9">
        <f t="shared" si="0"/>
        <v>0</v>
      </c>
      <c r="O10" s="23" t="s">
        <v>22</v>
      </c>
      <c r="P10" s="9">
        <f>SUM(I6:I36)</f>
        <v>91.8</v>
      </c>
    </row>
    <row r="11" spans="1:16" x14ac:dyDescent="0.25">
      <c r="A11" s="6">
        <v>45357</v>
      </c>
      <c r="B11" s="5" t="s">
        <v>47</v>
      </c>
      <c r="C11" s="3">
        <v>0</v>
      </c>
      <c r="D11" s="7" t="s">
        <v>13</v>
      </c>
      <c r="E11" s="8">
        <v>0</v>
      </c>
      <c r="F11" s="28">
        <v>0</v>
      </c>
      <c r="G11" s="30">
        <v>0</v>
      </c>
      <c r="H11" s="31">
        <f t="shared" si="1"/>
        <v>0</v>
      </c>
      <c r="I11" s="9">
        <f t="shared" si="0"/>
        <v>0</v>
      </c>
      <c r="O11" s="24" t="s">
        <v>24</v>
      </c>
      <c r="P11" s="34">
        <f>P9+P10</f>
        <v>767.04</v>
      </c>
    </row>
    <row r="12" spans="1:16" ht="17.25" customHeight="1" x14ac:dyDescent="0.25">
      <c r="A12" s="6">
        <v>45358</v>
      </c>
      <c r="B12" s="5" t="s">
        <v>47</v>
      </c>
      <c r="C12" s="3">
        <v>0</v>
      </c>
      <c r="D12" s="7" t="s">
        <v>13</v>
      </c>
      <c r="E12" s="8">
        <v>0</v>
      </c>
      <c r="F12" s="28">
        <v>0</v>
      </c>
      <c r="G12" s="30">
        <v>0</v>
      </c>
      <c r="H12" s="31">
        <f t="shared" si="1"/>
        <v>0</v>
      </c>
      <c r="I12" s="9">
        <f t="shared" si="0"/>
        <v>0</v>
      </c>
      <c r="O12" s="25" t="s">
        <v>67</v>
      </c>
      <c r="P12" s="26">
        <f>SUM(P8+P11)</f>
        <v>4267.04</v>
      </c>
    </row>
    <row r="13" spans="1:16" x14ac:dyDescent="0.25">
      <c r="A13" s="6">
        <v>45359</v>
      </c>
      <c r="B13" s="5" t="s">
        <v>47</v>
      </c>
      <c r="C13" s="3">
        <v>0</v>
      </c>
      <c r="D13" s="7" t="s">
        <v>13</v>
      </c>
      <c r="E13" s="8">
        <v>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45360</v>
      </c>
      <c r="B14" s="5" t="s">
        <v>81</v>
      </c>
      <c r="C14" s="3">
        <v>200</v>
      </c>
      <c r="D14" s="7" t="s">
        <v>34</v>
      </c>
      <c r="E14" s="8">
        <v>20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45361</v>
      </c>
      <c r="B15" s="5" t="s">
        <v>82</v>
      </c>
      <c r="C15" s="3">
        <v>170</v>
      </c>
      <c r="D15" s="7" t="s">
        <v>34</v>
      </c>
      <c r="E15" s="8">
        <v>20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45362</v>
      </c>
      <c r="B16" s="5" t="s">
        <v>83</v>
      </c>
      <c r="C16" s="3">
        <v>320</v>
      </c>
      <c r="D16" s="7" t="s">
        <v>13</v>
      </c>
      <c r="E16" s="8">
        <v>0</v>
      </c>
      <c r="F16" s="28">
        <v>102</v>
      </c>
      <c r="G16" s="30">
        <v>102</v>
      </c>
      <c r="H16" s="31">
        <f t="shared" si="1"/>
        <v>86.7</v>
      </c>
      <c r="I16" s="9">
        <f t="shared" si="0"/>
        <v>91.8</v>
      </c>
    </row>
    <row r="17" spans="1:9" x14ac:dyDescent="0.25">
      <c r="A17" s="6">
        <v>45363</v>
      </c>
      <c r="B17" s="5" t="s">
        <v>84</v>
      </c>
      <c r="C17" s="3">
        <v>200</v>
      </c>
      <c r="D17" s="7" t="s">
        <v>13</v>
      </c>
      <c r="E17" s="8">
        <v>0</v>
      </c>
      <c r="F17" s="28">
        <v>102</v>
      </c>
      <c r="G17" s="30">
        <v>0</v>
      </c>
      <c r="H17" s="31">
        <f t="shared" si="1"/>
        <v>86.7</v>
      </c>
      <c r="I17" s="9">
        <f t="shared" si="0"/>
        <v>0</v>
      </c>
    </row>
    <row r="18" spans="1:9" x14ac:dyDescent="0.25">
      <c r="A18" s="6">
        <v>45364</v>
      </c>
      <c r="B18" s="5" t="s">
        <v>85</v>
      </c>
      <c r="C18" s="3">
        <v>100</v>
      </c>
      <c r="D18" s="7" t="s">
        <v>13</v>
      </c>
      <c r="E18" s="8">
        <v>0</v>
      </c>
      <c r="F18" s="28">
        <v>162</v>
      </c>
      <c r="G18" s="30">
        <v>0</v>
      </c>
      <c r="H18" s="31">
        <f t="shared" si="1"/>
        <v>137.69999999999999</v>
      </c>
      <c r="I18" s="9">
        <f t="shared" si="0"/>
        <v>0</v>
      </c>
    </row>
    <row r="19" spans="1:9" x14ac:dyDescent="0.25">
      <c r="A19" s="6">
        <v>45365</v>
      </c>
      <c r="B19" s="5" t="s">
        <v>88</v>
      </c>
      <c r="C19" s="3">
        <v>170</v>
      </c>
      <c r="D19" s="7" t="s">
        <v>34</v>
      </c>
      <c r="E19" s="8">
        <v>20</v>
      </c>
      <c r="F19" s="28">
        <v>80.3</v>
      </c>
      <c r="G19" s="30">
        <v>0</v>
      </c>
      <c r="H19" s="31">
        <f t="shared" si="1"/>
        <v>68.254999999999995</v>
      </c>
      <c r="I19" s="9">
        <f t="shared" si="0"/>
        <v>0</v>
      </c>
    </row>
    <row r="20" spans="1:9" x14ac:dyDescent="0.25">
      <c r="A20" s="6">
        <v>45366</v>
      </c>
      <c r="B20" s="5" t="s">
        <v>86</v>
      </c>
      <c r="C20" s="3">
        <v>200</v>
      </c>
      <c r="D20" s="7" t="s">
        <v>34</v>
      </c>
      <c r="E20" s="8">
        <v>20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45367</v>
      </c>
      <c r="B21" s="5" t="s">
        <v>87</v>
      </c>
      <c r="C21" s="3">
        <v>140</v>
      </c>
      <c r="D21" s="7" t="s">
        <v>34</v>
      </c>
      <c r="E21" s="8">
        <v>20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45368</v>
      </c>
      <c r="B22" s="5" t="s">
        <v>47</v>
      </c>
      <c r="C22" s="3">
        <v>0</v>
      </c>
      <c r="D22" s="7" t="s">
        <v>13</v>
      </c>
      <c r="E22" s="8">
        <v>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45369</v>
      </c>
      <c r="B23" s="5" t="s">
        <v>89</v>
      </c>
      <c r="C23" s="3">
        <v>190</v>
      </c>
      <c r="D23" s="7" t="s">
        <v>34</v>
      </c>
      <c r="E23" s="8">
        <v>20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45370</v>
      </c>
      <c r="B24" s="5" t="s">
        <v>90</v>
      </c>
      <c r="C24" s="3">
        <v>100</v>
      </c>
      <c r="D24" s="7" t="s">
        <v>13</v>
      </c>
      <c r="E24" s="8">
        <v>0</v>
      </c>
      <c r="F24" s="28">
        <v>130</v>
      </c>
      <c r="G24" s="30">
        <v>0</v>
      </c>
      <c r="H24" s="31">
        <f t="shared" si="1"/>
        <v>110.5</v>
      </c>
      <c r="I24" s="9">
        <f t="shared" si="0"/>
        <v>0</v>
      </c>
    </row>
    <row r="25" spans="1:9" x14ac:dyDescent="0.25">
      <c r="A25" s="6">
        <v>45371</v>
      </c>
      <c r="B25" s="5" t="s">
        <v>91</v>
      </c>
      <c r="C25" s="3">
        <v>290</v>
      </c>
      <c r="D25" s="7" t="s">
        <v>34</v>
      </c>
      <c r="E25" s="8">
        <v>20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45372</v>
      </c>
      <c r="B26" s="5" t="s">
        <v>92</v>
      </c>
      <c r="C26" s="3">
        <v>290</v>
      </c>
      <c r="D26" s="7" t="s">
        <v>34</v>
      </c>
      <c r="E26" s="8">
        <v>20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45373</v>
      </c>
      <c r="B27" s="5" t="s">
        <v>93</v>
      </c>
      <c r="C27" s="3">
        <v>140</v>
      </c>
      <c r="D27" s="7" t="s">
        <v>13</v>
      </c>
      <c r="E27" s="8">
        <v>0</v>
      </c>
      <c r="F27" s="28">
        <v>88.1</v>
      </c>
      <c r="G27" s="30">
        <v>0</v>
      </c>
      <c r="H27" s="31">
        <f t="shared" si="1"/>
        <v>74.884999999999991</v>
      </c>
      <c r="I27" s="9">
        <f t="shared" si="0"/>
        <v>0</v>
      </c>
    </row>
    <row r="28" spans="1:9" x14ac:dyDescent="0.25">
      <c r="A28" s="6">
        <v>45374</v>
      </c>
      <c r="B28" s="5" t="s">
        <v>47</v>
      </c>
      <c r="C28" s="3">
        <v>0</v>
      </c>
      <c r="D28" s="7" t="s">
        <v>13</v>
      </c>
      <c r="E28" s="8">
        <v>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45375</v>
      </c>
      <c r="B29" s="5" t="s">
        <v>47</v>
      </c>
      <c r="C29" s="3">
        <v>0</v>
      </c>
      <c r="D29" s="7" t="s">
        <v>13</v>
      </c>
      <c r="E29" s="8">
        <v>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45376</v>
      </c>
      <c r="B30" s="5" t="s">
        <v>45</v>
      </c>
      <c r="C30" s="3">
        <v>100</v>
      </c>
      <c r="D30" s="7" t="s">
        <v>13</v>
      </c>
      <c r="E30" s="8">
        <v>0</v>
      </c>
      <c r="F30" s="28">
        <v>130</v>
      </c>
      <c r="G30" s="30">
        <v>0</v>
      </c>
      <c r="H30" s="31">
        <f t="shared" si="1"/>
        <v>110.5</v>
      </c>
      <c r="I30" s="9">
        <f t="shared" si="0"/>
        <v>0</v>
      </c>
    </row>
    <row r="31" spans="1:9" x14ac:dyDescent="0.25">
      <c r="A31" s="6">
        <v>45377</v>
      </c>
      <c r="B31" s="5" t="s">
        <v>94</v>
      </c>
      <c r="C31" s="3">
        <v>70</v>
      </c>
      <c r="D31" s="7" t="s">
        <v>34</v>
      </c>
      <c r="E31" s="8">
        <v>20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45378</v>
      </c>
      <c r="B32" s="5" t="s">
        <v>95</v>
      </c>
      <c r="C32" s="3">
        <v>170</v>
      </c>
      <c r="D32" s="7" t="s">
        <v>34</v>
      </c>
      <c r="E32" s="8">
        <v>20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45379</v>
      </c>
      <c r="B33" s="5" t="s">
        <v>96</v>
      </c>
      <c r="C33" s="3">
        <v>240</v>
      </c>
      <c r="D33" s="7" t="s">
        <v>34</v>
      </c>
      <c r="E33" s="8">
        <v>20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45380</v>
      </c>
      <c r="B34" s="5" t="s">
        <v>47</v>
      </c>
      <c r="C34" s="3">
        <v>0</v>
      </c>
      <c r="D34" s="7" t="s">
        <v>13</v>
      </c>
      <c r="E34" s="8">
        <v>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45381</v>
      </c>
      <c r="B35" s="5" t="s">
        <v>97</v>
      </c>
      <c r="C35" s="3">
        <v>170</v>
      </c>
      <c r="D35" s="7" t="s">
        <v>34</v>
      </c>
      <c r="E35" s="8">
        <v>20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6">
        <v>45382</v>
      </c>
      <c r="B36" s="5" t="s">
        <v>47</v>
      </c>
      <c r="C36" s="3">
        <v>0</v>
      </c>
      <c r="D36" s="7" t="s">
        <v>13</v>
      </c>
      <c r="E36" s="8">
        <v>0</v>
      </c>
      <c r="F36" s="28">
        <v>0</v>
      </c>
      <c r="G36" s="30">
        <v>0</v>
      </c>
      <c r="H36" s="31">
        <f t="shared" si="1"/>
        <v>0</v>
      </c>
      <c r="I36" s="9">
        <f t="shared" si="0"/>
        <v>0</v>
      </c>
    </row>
    <row r="37" spans="1:9" x14ac:dyDescent="0.25">
      <c r="A37" s="36"/>
      <c r="B37" s="36"/>
      <c r="C37" s="36"/>
      <c r="D37" s="36"/>
      <c r="E37" s="36"/>
      <c r="F37" s="37">
        <f>SUM(F6:F36)</f>
        <v>794.4</v>
      </c>
      <c r="G37" s="37">
        <f>SUM(G6:G36)</f>
        <v>102</v>
      </c>
      <c r="H37" s="36"/>
      <c r="I37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00FF"/>
  </sheetPr>
  <dimension ref="A1:P36"/>
  <sheetViews>
    <sheetView workbookViewId="0">
      <selection activeCell="E36" sqref="E36"/>
    </sheetView>
  </sheetViews>
  <sheetFormatPr defaultRowHeight="15" x14ac:dyDescent="0.25"/>
  <cols>
    <col min="1" max="1" width="14.5703125" customWidth="1"/>
    <col min="2" max="2" width="37.7109375" customWidth="1"/>
    <col min="3" max="3" width="13.42578125" customWidth="1"/>
    <col min="4" max="4" width="12.85546875" customWidth="1"/>
    <col min="5" max="5" width="14.5703125" customWidth="1"/>
    <col min="6" max="7" width="17.42578125" customWidth="1"/>
    <col min="8" max="8" width="19" customWidth="1"/>
    <col min="9" max="9" width="18.7109375" customWidth="1"/>
    <col min="15" max="15" width="44.5703125" customWidth="1"/>
    <col min="16" max="16" width="18.57031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6.25" customHeight="1" x14ac:dyDescent="0.3">
      <c r="A4" s="81" t="s">
        <v>57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SUM(C6:C35)</f>
        <v>3010</v>
      </c>
    </row>
    <row r="5" spans="1:16" ht="27.7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SUM(E6:E35)</f>
        <v>300</v>
      </c>
    </row>
    <row r="6" spans="1:16" ht="18.75" customHeight="1" x14ac:dyDescent="0.25">
      <c r="A6" s="6">
        <v>45383</v>
      </c>
      <c r="B6" s="5" t="s">
        <v>47</v>
      </c>
      <c r="C6" s="3">
        <v>0</v>
      </c>
      <c r="D6" s="7" t="s">
        <v>13</v>
      </c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45384</v>
      </c>
      <c r="B7" s="5" t="s">
        <v>98</v>
      </c>
      <c r="C7" s="3">
        <v>100</v>
      </c>
      <c r="D7" s="7" t="s">
        <v>34</v>
      </c>
      <c r="E7" s="8">
        <v>20</v>
      </c>
      <c r="F7" s="28">
        <v>0</v>
      </c>
      <c r="G7" s="30">
        <v>0</v>
      </c>
      <c r="H7" s="31">
        <v>0</v>
      </c>
      <c r="I7" s="9">
        <f t="shared" ref="I7:I35" si="0">G7*0.9</f>
        <v>0</v>
      </c>
      <c r="O7" s="13" t="s">
        <v>54</v>
      </c>
      <c r="P7" s="14">
        <f>SUM(F36+G36)</f>
        <v>1160.3</v>
      </c>
    </row>
    <row r="8" spans="1:16" x14ac:dyDescent="0.25">
      <c r="A8" s="6">
        <v>45385</v>
      </c>
      <c r="B8" s="5" t="s">
        <v>99</v>
      </c>
      <c r="C8" s="3">
        <v>80</v>
      </c>
      <c r="D8" s="7" t="s">
        <v>13</v>
      </c>
      <c r="E8" s="8">
        <v>0</v>
      </c>
      <c r="F8" s="28">
        <v>100</v>
      </c>
      <c r="G8" s="30">
        <v>0</v>
      </c>
      <c r="H8" s="31">
        <f t="shared" ref="H8:H35" si="1">F8*0.85</f>
        <v>85</v>
      </c>
      <c r="I8" s="9">
        <f t="shared" si="0"/>
        <v>0</v>
      </c>
      <c r="O8" s="20" t="s">
        <v>18</v>
      </c>
      <c r="P8" s="21">
        <f>SUM(P5+P4)</f>
        <v>3310</v>
      </c>
    </row>
    <row r="9" spans="1:16" x14ac:dyDescent="0.25">
      <c r="A9" s="6">
        <v>45386</v>
      </c>
      <c r="B9" s="5" t="s">
        <v>100</v>
      </c>
      <c r="C9" s="3">
        <v>170</v>
      </c>
      <c r="D9" s="7" t="s">
        <v>34</v>
      </c>
      <c r="E9" s="8">
        <v>20</v>
      </c>
      <c r="F9" s="28">
        <v>0</v>
      </c>
      <c r="G9" s="30">
        <v>0</v>
      </c>
      <c r="H9" s="31">
        <f t="shared" si="1"/>
        <v>0</v>
      </c>
      <c r="I9" s="9">
        <f t="shared" si="0"/>
        <v>0</v>
      </c>
      <c r="O9" s="22" t="s">
        <v>21</v>
      </c>
      <c r="P9" s="33">
        <f>SUM(H6:H35)</f>
        <v>885.95499999999993</v>
      </c>
    </row>
    <row r="10" spans="1:16" x14ac:dyDescent="0.25">
      <c r="A10" s="6">
        <v>45387</v>
      </c>
      <c r="B10" s="5" t="s">
        <v>101</v>
      </c>
      <c r="C10" s="3">
        <v>140</v>
      </c>
      <c r="D10" s="7" t="s">
        <v>13</v>
      </c>
      <c r="E10" s="8">
        <v>0</v>
      </c>
      <c r="F10" s="28">
        <v>201</v>
      </c>
      <c r="G10" s="30">
        <v>118</v>
      </c>
      <c r="H10" s="31">
        <f t="shared" si="1"/>
        <v>170.85</v>
      </c>
      <c r="I10" s="9">
        <f t="shared" si="0"/>
        <v>106.2</v>
      </c>
      <c r="O10" s="23" t="s">
        <v>22</v>
      </c>
      <c r="P10" s="9">
        <f>SUM(I6:I35)</f>
        <v>106.2</v>
      </c>
    </row>
    <row r="11" spans="1:16" x14ac:dyDescent="0.25">
      <c r="A11" s="6">
        <v>45388</v>
      </c>
      <c r="B11" s="5" t="s">
        <v>47</v>
      </c>
      <c r="C11" s="3">
        <v>0</v>
      </c>
      <c r="D11" s="7" t="s">
        <v>25</v>
      </c>
      <c r="E11" s="8">
        <v>0</v>
      </c>
      <c r="F11" s="28">
        <v>0</v>
      </c>
      <c r="G11" s="30">
        <v>0</v>
      </c>
      <c r="H11" s="31">
        <f t="shared" si="1"/>
        <v>0</v>
      </c>
      <c r="I11" s="9">
        <f t="shared" si="0"/>
        <v>0</v>
      </c>
      <c r="O11" s="24" t="s">
        <v>24</v>
      </c>
      <c r="P11" s="34">
        <f>P9+P10</f>
        <v>992.15499999999997</v>
      </c>
    </row>
    <row r="12" spans="1:16" ht="17.25" customHeight="1" x14ac:dyDescent="0.25">
      <c r="A12" s="6">
        <v>45389</v>
      </c>
      <c r="B12" s="5" t="s">
        <v>47</v>
      </c>
      <c r="C12" s="3">
        <v>0</v>
      </c>
      <c r="D12" s="7" t="s">
        <v>13</v>
      </c>
      <c r="E12" s="8">
        <v>0</v>
      </c>
      <c r="F12" s="28">
        <v>0</v>
      </c>
      <c r="G12" s="30">
        <v>0</v>
      </c>
      <c r="H12" s="31">
        <f t="shared" si="1"/>
        <v>0</v>
      </c>
      <c r="I12" s="9">
        <f t="shared" si="0"/>
        <v>0</v>
      </c>
      <c r="O12" s="25" t="s">
        <v>67</v>
      </c>
      <c r="P12" s="26">
        <f>SUM(P8+P11)</f>
        <v>4302.1549999999997</v>
      </c>
    </row>
    <row r="13" spans="1:16" x14ac:dyDescent="0.25">
      <c r="A13" s="6">
        <v>45390</v>
      </c>
      <c r="B13" s="5" t="s">
        <v>45</v>
      </c>
      <c r="C13" s="3">
        <v>100</v>
      </c>
      <c r="D13" s="7" t="s">
        <v>13</v>
      </c>
      <c r="E13" s="8">
        <v>0</v>
      </c>
      <c r="F13" s="28">
        <v>148</v>
      </c>
      <c r="G13" s="30">
        <v>0</v>
      </c>
      <c r="H13" s="31">
        <f t="shared" si="1"/>
        <v>125.8</v>
      </c>
      <c r="I13" s="9">
        <f t="shared" si="0"/>
        <v>0</v>
      </c>
    </row>
    <row r="14" spans="1:16" x14ac:dyDescent="0.25">
      <c r="A14" s="6">
        <v>45391</v>
      </c>
      <c r="B14" s="5" t="s">
        <v>102</v>
      </c>
      <c r="C14" s="3">
        <v>100</v>
      </c>
      <c r="D14" s="7" t="s">
        <v>13</v>
      </c>
      <c r="E14" s="8">
        <v>20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45392</v>
      </c>
      <c r="B15" s="5" t="s">
        <v>45</v>
      </c>
      <c r="C15" s="3">
        <v>100</v>
      </c>
      <c r="D15" s="7" t="s">
        <v>34</v>
      </c>
      <c r="E15" s="8">
        <v>20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45393</v>
      </c>
      <c r="B16" s="5" t="s">
        <v>47</v>
      </c>
      <c r="C16" s="3">
        <v>0</v>
      </c>
      <c r="D16" s="7" t="s">
        <v>13</v>
      </c>
      <c r="E16" s="8">
        <v>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45394</v>
      </c>
      <c r="B17" s="5" t="s">
        <v>103</v>
      </c>
      <c r="C17" s="3">
        <v>200</v>
      </c>
      <c r="D17" s="7" t="s">
        <v>34</v>
      </c>
      <c r="E17" s="8">
        <v>20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45395</v>
      </c>
      <c r="B18" s="5" t="s">
        <v>28</v>
      </c>
      <c r="C18" s="3">
        <v>140</v>
      </c>
      <c r="D18" s="7" t="s">
        <v>34</v>
      </c>
      <c r="E18" s="8">
        <v>20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45396</v>
      </c>
      <c r="B19" s="5" t="s">
        <v>47</v>
      </c>
      <c r="C19" s="3">
        <v>0</v>
      </c>
      <c r="D19" s="7" t="s">
        <v>13</v>
      </c>
      <c r="E19" s="8">
        <v>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45397</v>
      </c>
      <c r="B20" s="5" t="s">
        <v>41</v>
      </c>
      <c r="C20" s="3">
        <v>100</v>
      </c>
      <c r="D20" s="7" t="s">
        <v>13</v>
      </c>
      <c r="E20" s="8">
        <v>0</v>
      </c>
      <c r="F20" s="28">
        <v>104</v>
      </c>
      <c r="G20" s="30">
        <v>0</v>
      </c>
      <c r="H20" s="31">
        <f t="shared" si="1"/>
        <v>88.399999999999991</v>
      </c>
      <c r="I20" s="9">
        <f t="shared" si="0"/>
        <v>0</v>
      </c>
    </row>
    <row r="21" spans="1:9" x14ac:dyDescent="0.25">
      <c r="A21" s="6">
        <v>45398</v>
      </c>
      <c r="B21" s="5" t="s">
        <v>47</v>
      </c>
      <c r="C21" s="3">
        <v>0</v>
      </c>
      <c r="D21" s="7" t="s">
        <v>13</v>
      </c>
      <c r="E21" s="8">
        <v>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45399</v>
      </c>
      <c r="B22" s="5" t="s">
        <v>98</v>
      </c>
      <c r="C22" s="3">
        <v>100</v>
      </c>
      <c r="D22" s="7" t="s">
        <v>34</v>
      </c>
      <c r="E22" s="8">
        <v>20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45400</v>
      </c>
      <c r="B23" s="5" t="s">
        <v>104</v>
      </c>
      <c r="C23" s="3">
        <v>170</v>
      </c>
      <c r="D23" s="7" t="s">
        <v>34</v>
      </c>
      <c r="E23" s="8">
        <v>20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45401</v>
      </c>
      <c r="B24" s="5" t="s">
        <v>104</v>
      </c>
      <c r="C24" s="3">
        <v>170</v>
      </c>
      <c r="D24" s="7" t="s">
        <v>13</v>
      </c>
      <c r="E24" s="8">
        <v>0</v>
      </c>
      <c r="F24" s="28">
        <v>117</v>
      </c>
      <c r="G24" s="30">
        <v>0</v>
      </c>
      <c r="H24" s="31">
        <f t="shared" si="1"/>
        <v>99.45</v>
      </c>
      <c r="I24" s="9">
        <f t="shared" si="0"/>
        <v>0</v>
      </c>
    </row>
    <row r="25" spans="1:9" x14ac:dyDescent="0.25">
      <c r="A25" s="6">
        <v>45402</v>
      </c>
      <c r="B25" s="5" t="s">
        <v>105</v>
      </c>
      <c r="C25" s="3">
        <v>70</v>
      </c>
      <c r="D25" s="7" t="s">
        <v>13</v>
      </c>
      <c r="E25" s="8">
        <v>0</v>
      </c>
      <c r="F25" s="28">
        <v>123</v>
      </c>
      <c r="G25" s="30">
        <v>0</v>
      </c>
      <c r="H25" s="31">
        <f t="shared" si="1"/>
        <v>104.55</v>
      </c>
      <c r="I25" s="9">
        <f t="shared" si="0"/>
        <v>0</v>
      </c>
    </row>
    <row r="26" spans="1:9" x14ac:dyDescent="0.25">
      <c r="A26" s="6">
        <v>45403</v>
      </c>
      <c r="B26" s="5" t="s">
        <v>47</v>
      </c>
      <c r="C26" s="3">
        <v>0</v>
      </c>
      <c r="D26" s="7" t="s">
        <v>107</v>
      </c>
      <c r="E26" s="8">
        <v>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45404</v>
      </c>
      <c r="B27" s="5" t="s">
        <v>106</v>
      </c>
      <c r="C27" s="3">
        <v>170</v>
      </c>
      <c r="D27" s="7" t="s">
        <v>34</v>
      </c>
      <c r="E27" s="8">
        <v>20</v>
      </c>
      <c r="F27" s="28">
        <v>80.3</v>
      </c>
      <c r="G27" s="30">
        <v>0</v>
      </c>
      <c r="H27" s="31">
        <f t="shared" si="1"/>
        <v>68.254999999999995</v>
      </c>
      <c r="I27" s="9">
        <f t="shared" si="0"/>
        <v>0</v>
      </c>
    </row>
    <row r="28" spans="1:9" x14ac:dyDescent="0.25">
      <c r="A28" s="6">
        <v>45405</v>
      </c>
      <c r="B28" s="5" t="s">
        <v>108</v>
      </c>
      <c r="C28" s="3">
        <v>190</v>
      </c>
      <c r="D28" s="7" t="s">
        <v>34</v>
      </c>
      <c r="E28" s="8">
        <v>20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45406</v>
      </c>
      <c r="B29" s="5" t="s">
        <v>109</v>
      </c>
      <c r="C29" s="3">
        <v>190</v>
      </c>
      <c r="D29" s="7" t="s">
        <v>34</v>
      </c>
      <c r="E29" s="8">
        <v>20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45407</v>
      </c>
      <c r="B30" s="5" t="s">
        <v>110</v>
      </c>
      <c r="C30" s="3">
        <v>200</v>
      </c>
      <c r="D30" s="7" t="s">
        <v>34</v>
      </c>
      <c r="E30" s="8">
        <v>20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45408</v>
      </c>
      <c r="B31" s="5" t="s">
        <v>111</v>
      </c>
      <c r="C31" s="3">
        <v>100</v>
      </c>
      <c r="D31" s="7" t="s">
        <v>112</v>
      </c>
      <c r="E31" s="8">
        <v>20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45409</v>
      </c>
      <c r="B32" s="5" t="s">
        <v>81</v>
      </c>
      <c r="C32" s="3">
        <v>200</v>
      </c>
      <c r="D32" s="7" t="s">
        <v>34</v>
      </c>
      <c r="E32" s="8">
        <v>20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45410</v>
      </c>
      <c r="B33" s="5" t="s">
        <v>47</v>
      </c>
      <c r="C33" s="3">
        <v>0</v>
      </c>
      <c r="D33" s="7" t="s">
        <v>13</v>
      </c>
      <c r="E33" s="8">
        <v>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45411</v>
      </c>
      <c r="B34" s="5" t="s">
        <v>113</v>
      </c>
      <c r="C34" s="3">
        <v>120</v>
      </c>
      <c r="D34" s="7" t="s">
        <v>13</v>
      </c>
      <c r="E34" s="8">
        <v>0</v>
      </c>
      <c r="F34" s="28">
        <v>169</v>
      </c>
      <c r="G34" s="30">
        <v>0</v>
      </c>
      <c r="H34" s="31">
        <f t="shared" si="1"/>
        <v>143.65</v>
      </c>
      <c r="I34" s="9">
        <f t="shared" si="0"/>
        <v>0</v>
      </c>
    </row>
    <row r="35" spans="1:9" x14ac:dyDescent="0.25">
      <c r="A35" s="6">
        <v>45412</v>
      </c>
      <c r="B35" s="5" t="s">
        <v>98</v>
      </c>
      <c r="C35" s="3">
        <v>100</v>
      </c>
      <c r="D35" s="7" t="s">
        <v>34</v>
      </c>
      <c r="E35" s="8">
        <v>20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36"/>
      <c r="B36" s="36"/>
      <c r="C36" s="36"/>
      <c r="D36" s="36"/>
      <c r="E36" s="36"/>
      <c r="F36" s="37">
        <f>SUM(F6:F35)</f>
        <v>1042.3</v>
      </c>
      <c r="G36" s="37">
        <f>SUM(G6:G35)</f>
        <v>118</v>
      </c>
      <c r="H36" s="36"/>
      <c r="I36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59999389629810485"/>
  </sheetPr>
  <dimension ref="A1:P37"/>
  <sheetViews>
    <sheetView workbookViewId="0">
      <selection activeCell="P12" sqref="P12"/>
    </sheetView>
  </sheetViews>
  <sheetFormatPr defaultRowHeight="15" x14ac:dyDescent="0.25"/>
  <cols>
    <col min="1" max="1" width="16.42578125" customWidth="1"/>
    <col min="2" max="2" width="41" customWidth="1"/>
    <col min="3" max="3" width="23.42578125" customWidth="1"/>
    <col min="4" max="4" width="21.7109375" customWidth="1"/>
    <col min="5" max="5" width="23.7109375" customWidth="1"/>
    <col min="6" max="6" width="22.28515625" customWidth="1"/>
    <col min="7" max="7" width="26.5703125" customWidth="1"/>
    <col min="8" max="8" width="28" customWidth="1"/>
    <col min="9" max="9" width="25.5703125" customWidth="1"/>
    <col min="15" max="15" width="41.5703125" customWidth="1"/>
    <col min="16" max="16" width="20.140625" customWidth="1"/>
  </cols>
  <sheetData>
    <row r="1" spans="1:16" ht="15" customHeight="1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ht="15" customHeight="1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customHeight="1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4.75" customHeight="1" x14ac:dyDescent="0.3">
      <c r="A4" s="81" t="s">
        <v>68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SUM(C6:C36)</f>
        <v>3050</v>
      </c>
    </row>
    <row r="5" spans="1:16" ht="32.2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SUM(E6:E36)</f>
        <v>240</v>
      </c>
    </row>
    <row r="6" spans="1:16" ht="18.75" customHeight="1" x14ac:dyDescent="0.25">
      <c r="A6" s="6">
        <v>45413</v>
      </c>
      <c r="B6" s="5" t="s">
        <v>47</v>
      </c>
      <c r="C6" s="3">
        <v>0</v>
      </c>
      <c r="D6" s="7"/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45414</v>
      </c>
      <c r="B7" s="5" t="s">
        <v>114</v>
      </c>
      <c r="C7" s="3">
        <v>240</v>
      </c>
      <c r="D7" s="7" t="s">
        <v>34</v>
      </c>
      <c r="E7" s="8">
        <v>20</v>
      </c>
      <c r="F7" s="28">
        <v>0</v>
      </c>
      <c r="G7" s="30">
        <v>0</v>
      </c>
      <c r="H7" s="31">
        <v>0</v>
      </c>
      <c r="I7" s="9">
        <f t="shared" ref="I7:I36" si="0">G7*0.9</f>
        <v>0</v>
      </c>
      <c r="O7" s="13" t="s">
        <v>54</v>
      </c>
      <c r="P7" s="14">
        <f>SUM(F37+G37)</f>
        <v>991</v>
      </c>
    </row>
    <row r="8" spans="1:16" x14ac:dyDescent="0.25">
      <c r="A8" s="6">
        <v>45415</v>
      </c>
      <c r="B8" s="5" t="s">
        <v>115</v>
      </c>
      <c r="C8" s="3">
        <v>220</v>
      </c>
      <c r="D8" s="7" t="s">
        <v>34</v>
      </c>
      <c r="E8" s="8">
        <v>20</v>
      </c>
      <c r="F8" s="28">
        <v>0</v>
      </c>
      <c r="G8" s="30">
        <v>0</v>
      </c>
      <c r="H8" s="31">
        <f t="shared" ref="H8:H36" si="1">F8*0.85</f>
        <v>0</v>
      </c>
      <c r="I8" s="9">
        <f t="shared" si="0"/>
        <v>0</v>
      </c>
      <c r="O8" s="20" t="s">
        <v>18</v>
      </c>
      <c r="P8" s="21">
        <f>SUM(P5+P4)</f>
        <v>3290</v>
      </c>
    </row>
    <row r="9" spans="1:16" x14ac:dyDescent="0.25">
      <c r="A9" s="6">
        <v>45416</v>
      </c>
      <c r="B9" s="5" t="s">
        <v>115</v>
      </c>
      <c r="C9" s="3">
        <v>220</v>
      </c>
      <c r="D9" s="7" t="s">
        <v>34</v>
      </c>
      <c r="E9" s="8">
        <v>20</v>
      </c>
      <c r="F9" s="28">
        <v>0</v>
      </c>
      <c r="G9" s="30">
        <v>0</v>
      </c>
      <c r="H9" s="31">
        <f t="shared" si="1"/>
        <v>0</v>
      </c>
      <c r="I9" s="9">
        <f t="shared" si="0"/>
        <v>0</v>
      </c>
      <c r="O9" s="22" t="s">
        <v>21</v>
      </c>
      <c r="P9" s="33">
        <f>SUM(H6:H36)</f>
        <v>842.34999999999991</v>
      </c>
    </row>
    <row r="10" spans="1:16" x14ac:dyDescent="0.25">
      <c r="A10" s="6">
        <v>45417</v>
      </c>
      <c r="B10" s="5" t="s">
        <v>47</v>
      </c>
      <c r="C10" s="3">
        <v>0</v>
      </c>
      <c r="D10" s="7" t="s">
        <v>13</v>
      </c>
      <c r="E10" s="8">
        <v>0</v>
      </c>
      <c r="F10" s="28">
        <v>0</v>
      </c>
      <c r="G10" s="30">
        <v>0</v>
      </c>
      <c r="H10" s="31">
        <f t="shared" si="1"/>
        <v>0</v>
      </c>
      <c r="I10" s="9">
        <f t="shared" si="0"/>
        <v>0</v>
      </c>
      <c r="O10" s="23" t="s">
        <v>22</v>
      </c>
      <c r="P10" s="9">
        <f>SUM(I6:I36)</f>
        <v>0</v>
      </c>
    </row>
    <row r="11" spans="1:16" x14ac:dyDescent="0.25">
      <c r="A11" s="6">
        <v>45418</v>
      </c>
      <c r="B11" s="5" t="s">
        <v>47</v>
      </c>
      <c r="C11" s="3">
        <v>0</v>
      </c>
      <c r="D11" s="7" t="s">
        <v>13</v>
      </c>
      <c r="E11" s="8">
        <v>0</v>
      </c>
      <c r="F11" s="28">
        <v>0</v>
      </c>
      <c r="G11" s="30">
        <v>0</v>
      </c>
      <c r="H11" s="31">
        <f t="shared" si="1"/>
        <v>0</v>
      </c>
      <c r="I11" s="9">
        <f t="shared" si="0"/>
        <v>0</v>
      </c>
      <c r="O11" s="24" t="s">
        <v>24</v>
      </c>
      <c r="P11" s="34">
        <f>P9+P10</f>
        <v>842.34999999999991</v>
      </c>
    </row>
    <row r="12" spans="1:16" ht="14.25" customHeight="1" x14ac:dyDescent="0.25">
      <c r="A12" s="6">
        <v>45419</v>
      </c>
      <c r="B12" s="5" t="s">
        <v>116</v>
      </c>
      <c r="C12" s="3">
        <v>100</v>
      </c>
      <c r="D12" s="7" t="s">
        <v>34</v>
      </c>
      <c r="E12" s="8">
        <v>20</v>
      </c>
      <c r="F12" s="28">
        <v>0</v>
      </c>
      <c r="G12" s="30">
        <v>0</v>
      </c>
      <c r="H12" s="31">
        <f t="shared" si="1"/>
        <v>0</v>
      </c>
      <c r="I12" s="9">
        <f t="shared" si="0"/>
        <v>0</v>
      </c>
      <c r="O12" s="25" t="s">
        <v>67</v>
      </c>
      <c r="P12" s="26">
        <f>SUM(P8+P11)</f>
        <v>4132.3500000000004</v>
      </c>
    </row>
    <row r="13" spans="1:16" x14ac:dyDescent="0.25">
      <c r="A13" s="6">
        <v>45420</v>
      </c>
      <c r="B13" s="5" t="s">
        <v>98</v>
      </c>
      <c r="C13" s="3">
        <v>100</v>
      </c>
      <c r="D13" s="7" t="s">
        <v>34</v>
      </c>
      <c r="E13" s="8">
        <v>20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45421</v>
      </c>
      <c r="B14" s="5" t="s">
        <v>61</v>
      </c>
      <c r="C14" s="3">
        <v>120</v>
      </c>
      <c r="D14" s="7" t="s">
        <v>34</v>
      </c>
      <c r="E14" s="8">
        <v>20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45422</v>
      </c>
      <c r="B15" s="5" t="s">
        <v>117</v>
      </c>
      <c r="C15" s="3">
        <v>380</v>
      </c>
      <c r="D15" s="7" t="s">
        <v>34</v>
      </c>
      <c r="E15" s="8">
        <v>20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45423</v>
      </c>
      <c r="B16" s="5" t="s">
        <v>118</v>
      </c>
      <c r="C16" s="3">
        <v>200</v>
      </c>
      <c r="D16" s="7" t="s">
        <v>34</v>
      </c>
      <c r="E16" s="8">
        <v>20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45424</v>
      </c>
      <c r="B17" s="5" t="s">
        <v>47</v>
      </c>
      <c r="C17" s="3">
        <v>0</v>
      </c>
      <c r="D17" s="7" t="s">
        <v>13</v>
      </c>
      <c r="E17" s="8">
        <v>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45425</v>
      </c>
      <c r="B18" s="5" t="s">
        <v>47</v>
      </c>
      <c r="C18" s="3">
        <v>0</v>
      </c>
      <c r="D18" s="7" t="s">
        <v>13</v>
      </c>
      <c r="E18" s="8">
        <v>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45426</v>
      </c>
      <c r="B19" s="5" t="s">
        <v>47</v>
      </c>
      <c r="C19" s="3">
        <v>0</v>
      </c>
      <c r="D19" s="7" t="s">
        <v>13</v>
      </c>
      <c r="E19" s="8">
        <v>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45427</v>
      </c>
      <c r="B20" s="5" t="s">
        <v>47</v>
      </c>
      <c r="C20" s="3">
        <v>0</v>
      </c>
      <c r="D20" s="7" t="s">
        <v>13</v>
      </c>
      <c r="E20" s="8">
        <v>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45428</v>
      </c>
      <c r="B21" s="5" t="s">
        <v>119</v>
      </c>
      <c r="C21" s="3">
        <v>260</v>
      </c>
      <c r="D21" s="7" t="s">
        <v>34</v>
      </c>
      <c r="E21" s="8">
        <v>20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45429</v>
      </c>
      <c r="B22" s="5" t="s">
        <v>47</v>
      </c>
      <c r="C22" s="3">
        <v>0</v>
      </c>
      <c r="D22" s="7" t="s">
        <v>13</v>
      </c>
      <c r="E22" s="8">
        <v>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45430</v>
      </c>
      <c r="B23" s="5" t="s">
        <v>120</v>
      </c>
      <c r="C23" s="3">
        <v>70</v>
      </c>
      <c r="D23" s="7" t="s">
        <v>13</v>
      </c>
      <c r="E23" s="8">
        <v>0</v>
      </c>
      <c r="F23" s="28">
        <v>102</v>
      </c>
      <c r="G23" s="30">
        <v>0</v>
      </c>
      <c r="H23" s="31">
        <f t="shared" si="1"/>
        <v>86.7</v>
      </c>
      <c r="I23" s="9">
        <f t="shared" si="0"/>
        <v>0</v>
      </c>
    </row>
    <row r="24" spans="1:9" x14ac:dyDescent="0.25">
      <c r="A24" s="6">
        <v>45431</v>
      </c>
      <c r="B24" s="5" t="s">
        <v>47</v>
      </c>
      <c r="C24" s="3">
        <v>0</v>
      </c>
      <c r="D24" s="7" t="s">
        <v>13</v>
      </c>
      <c r="E24" s="8">
        <v>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45432</v>
      </c>
      <c r="B25" s="5" t="s">
        <v>121</v>
      </c>
      <c r="C25" s="3">
        <v>200</v>
      </c>
      <c r="D25" s="7" t="s">
        <v>13</v>
      </c>
      <c r="E25" s="8">
        <v>0</v>
      </c>
      <c r="F25" s="28">
        <v>102</v>
      </c>
      <c r="G25" s="30">
        <v>0</v>
      </c>
      <c r="H25" s="31">
        <f t="shared" si="1"/>
        <v>86.7</v>
      </c>
      <c r="I25" s="9">
        <f t="shared" si="0"/>
        <v>0</v>
      </c>
    </row>
    <row r="26" spans="1:9" x14ac:dyDescent="0.25">
      <c r="A26" s="6">
        <v>45433</v>
      </c>
      <c r="B26" s="5" t="s">
        <v>122</v>
      </c>
      <c r="C26" s="3">
        <v>140</v>
      </c>
      <c r="D26" s="7" t="s">
        <v>13</v>
      </c>
      <c r="E26" s="8">
        <v>0</v>
      </c>
      <c r="F26" s="28">
        <v>103</v>
      </c>
      <c r="G26" s="30">
        <v>0</v>
      </c>
      <c r="H26" s="31">
        <f t="shared" si="1"/>
        <v>87.55</v>
      </c>
      <c r="I26" s="9">
        <f t="shared" si="0"/>
        <v>0</v>
      </c>
    </row>
    <row r="27" spans="1:9" x14ac:dyDescent="0.25">
      <c r="A27" s="6">
        <v>45434</v>
      </c>
      <c r="B27" s="5" t="s">
        <v>123</v>
      </c>
      <c r="C27" s="3">
        <v>240</v>
      </c>
      <c r="D27" s="7" t="s">
        <v>34</v>
      </c>
      <c r="E27" s="8">
        <v>20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45435</v>
      </c>
      <c r="B28" s="5" t="s">
        <v>124</v>
      </c>
      <c r="C28" s="3">
        <v>270</v>
      </c>
      <c r="D28" s="7" t="s">
        <v>13</v>
      </c>
      <c r="E28" s="8">
        <v>0</v>
      </c>
      <c r="F28" s="28">
        <v>102</v>
      </c>
      <c r="G28" s="30">
        <v>0</v>
      </c>
      <c r="H28" s="31">
        <f t="shared" si="1"/>
        <v>86.7</v>
      </c>
      <c r="I28" s="9">
        <f t="shared" si="0"/>
        <v>0</v>
      </c>
    </row>
    <row r="29" spans="1:9" x14ac:dyDescent="0.25">
      <c r="A29" s="6">
        <v>45436</v>
      </c>
      <c r="B29" s="5" t="s">
        <v>47</v>
      </c>
      <c r="C29" s="3">
        <v>0</v>
      </c>
      <c r="D29" s="7" t="s">
        <v>13</v>
      </c>
      <c r="E29" s="8">
        <v>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45437</v>
      </c>
      <c r="B30" s="5" t="s">
        <v>98</v>
      </c>
      <c r="C30" s="3">
        <v>100</v>
      </c>
      <c r="D30" s="7" t="s">
        <v>13</v>
      </c>
      <c r="E30" s="8">
        <v>0</v>
      </c>
      <c r="F30" s="28">
        <v>582</v>
      </c>
      <c r="G30" s="30">
        <v>0</v>
      </c>
      <c r="H30" s="31">
        <f t="shared" si="1"/>
        <v>494.7</v>
      </c>
      <c r="I30" s="9">
        <f t="shared" si="0"/>
        <v>0</v>
      </c>
    </row>
    <row r="31" spans="1:9" x14ac:dyDescent="0.25">
      <c r="A31" s="6">
        <v>45438</v>
      </c>
      <c r="B31" s="5" t="s">
        <v>47</v>
      </c>
      <c r="C31" s="3">
        <v>0</v>
      </c>
      <c r="D31" s="7" t="s">
        <v>13</v>
      </c>
      <c r="E31" s="8">
        <v>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45439</v>
      </c>
      <c r="B32" s="5" t="s">
        <v>47</v>
      </c>
      <c r="C32" s="3">
        <v>0</v>
      </c>
      <c r="D32" s="7" t="s">
        <v>13</v>
      </c>
      <c r="E32" s="8">
        <v>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45440</v>
      </c>
      <c r="B33" s="5" t="s">
        <v>61</v>
      </c>
      <c r="C33" s="3">
        <v>120</v>
      </c>
      <c r="D33" s="7" t="s">
        <v>34</v>
      </c>
      <c r="E33" s="8">
        <v>20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45441</v>
      </c>
      <c r="B34" s="5" t="s">
        <v>47</v>
      </c>
      <c r="C34" s="3">
        <v>0</v>
      </c>
      <c r="D34" s="7" t="s">
        <v>13</v>
      </c>
      <c r="E34" s="8">
        <v>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45442</v>
      </c>
      <c r="B35" s="5" t="s">
        <v>47</v>
      </c>
      <c r="C35" s="3">
        <v>0</v>
      </c>
      <c r="D35" s="7" t="s">
        <v>13</v>
      </c>
      <c r="E35" s="8">
        <v>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6">
        <v>45443</v>
      </c>
      <c r="B36" s="5" t="s">
        <v>120</v>
      </c>
      <c r="C36" s="3">
        <v>70</v>
      </c>
      <c r="D36" s="7" t="s">
        <v>34</v>
      </c>
      <c r="E36" s="8">
        <v>20</v>
      </c>
      <c r="F36" s="28">
        <v>0</v>
      </c>
      <c r="G36" s="30">
        <v>0</v>
      </c>
      <c r="H36" s="31">
        <f t="shared" si="1"/>
        <v>0</v>
      </c>
      <c r="I36" s="9">
        <f t="shared" si="0"/>
        <v>0</v>
      </c>
    </row>
    <row r="37" spans="1:9" x14ac:dyDescent="0.25">
      <c r="A37" s="36"/>
      <c r="B37" s="36"/>
      <c r="C37" s="36"/>
      <c r="D37" s="36"/>
      <c r="E37" s="36"/>
      <c r="F37" s="37">
        <f>SUM(F6:F36)</f>
        <v>991</v>
      </c>
      <c r="G37" s="37">
        <f>SUM(G6:G36)</f>
        <v>0</v>
      </c>
      <c r="H37" s="36"/>
      <c r="I37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59999389629810485"/>
  </sheetPr>
  <dimension ref="A1:P36"/>
  <sheetViews>
    <sheetView workbookViewId="0">
      <selection activeCell="B35" sqref="B35"/>
    </sheetView>
  </sheetViews>
  <sheetFormatPr defaultRowHeight="15" x14ac:dyDescent="0.25"/>
  <cols>
    <col min="1" max="1" width="13.28515625" customWidth="1"/>
    <col min="2" max="2" width="41" customWidth="1"/>
    <col min="3" max="3" width="16.85546875" customWidth="1"/>
    <col min="4" max="4" width="18.7109375" customWidth="1"/>
    <col min="5" max="5" width="19" customWidth="1"/>
    <col min="6" max="6" width="27.7109375" customWidth="1"/>
    <col min="7" max="7" width="26.42578125" customWidth="1"/>
    <col min="8" max="8" width="41.42578125" customWidth="1"/>
    <col min="9" max="9" width="35.85546875" customWidth="1"/>
    <col min="15" max="15" width="41.7109375" customWidth="1"/>
    <col min="16" max="16" width="26.1406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8.5" customHeight="1" x14ac:dyDescent="0.3">
      <c r="A4" s="81" t="s">
        <v>69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SUM(C6:C35)</f>
        <v>2970</v>
      </c>
    </row>
    <row r="5" spans="1:16" ht="16.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SUM(E6:E35)</f>
        <v>200</v>
      </c>
    </row>
    <row r="6" spans="1:16" ht="18.75" customHeight="1" x14ac:dyDescent="0.25">
      <c r="A6" s="6">
        <v>45444</v>
      </c>
      <c r="B6" s="5" t="s">
        <v>125</v>
      </c>
      <c r="C6" s="3">
        <v>170</v>
      </c>
      <c r="D6" s="7" t="s">
        <v>34</v>
      </c>
      <c r="E6" s="8">
        <v>20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45445</v>
      </c>
      <c r="B7" s="5" t="s">
        <v>47</v>
      </c>
      <c r="C7" s="3">
        <v>0</v>
      </c>
      <c r="D7" s="7" t="s">
        <v>13</v>
      </c>
      <c r="E7" s="8">
        <v>0</v>
      </c>
      <c r="F7" s="28">
        <v>0</v>
      </c>
      <c r="G7" s="30">
        <v>0</v>
      </c>
      <c r="H7" s="31">
        <v>0</v>
      </c>
      <c r="I7" s="9">
        <f t="shared" ref="I7:I35" si="0">G7*0.9</f>
        <v>0</v>
      </c>
      <c r="O7" s="13" t="s">
        <v>54</v>
      </c>
      <c r="P7" s="14">
        <f>SUM(F36+G36)</f>
        <v>1058.74</v>
      </c>
    </row>
    <row r="8" spans="1:16" x14ac:dyDescent="0.25">
      <c r="A8" s="6">
        <v>45446</v>
      </c>
      <c r="B8" s="5" t="s">
        <v>126</v>
      </c>
      <c r="C8" s="3">
        <v>240</v>
      </c>
      <c r="D8" s="7" t="s">
        <v>34</v>
      </c>
      <c r="E8" s="8">
        <v>20</v>
      </c>
      <c r="F8" s="28">
        <v>0</v>
      </c>
      <c r="G8" s="30">
        <v>0</v>
      </c>
      <c r="H8" s="31">
        <f t="shared" ref="H8:H35" si="1">F8*0.85</f>
        <v>0</v>
      </c>
      <c r="I8" s="9">
        <f t="shared" si="0"/>
        <v>0</v>
      </c>
      <c r="O8" s="20" t="s">
        <v>18</v>
      </c>
      <c r="P8" s="21">
        <f>SUM(P5+P4)</f>
        <v>3170</v>
      </c>
    </row>
    <row r="9" spans="1:16" x14ac:dyDescent="0.25">
      <c r="A9" s="6">
        <v>45447</v>
      </c>
      <c r="B9" s="5" t="s">
        <v>81</v>
      </c>
      <c r="C9" s="3">
        <v>200</v>
      </c>
      <c r="D9" s="7" t="s">
        <v>34</v>
      </c>
      <c r="E9" s="8">
        <v>20</v>
      </c>
      <c r="F9" s="28">
        <v>0</v>
      </c>
      <c r="G9" s="30">
        <v>0</v>
      </c>
      <c r="H9" s="31">
        <f t="shared" si="1"/>
        <v>0</v>
      </c>
      <c r="I9" s="9">
        <f t="shared" si="0"/>
        <v>0</v>
      </c>
      <c r="O9" s="22" t="s">
        <v>21</v>
      </c>
      <c r="P9" s="33">
        <f>SUM(H6:H35)</f>
        <v>899.92899999999997</v>
      </c>
    </row>
    <row r="10" spans="1:16" x14ac:dyDescent="0.25">
      <c r="A10" s="6">
        <v>45448</v>
      </c>
      <c r="B10" s="5" t="s">
        <v>127</v>
      </c>
      <c r="C10" s="3">
        <v>200</v>
      </c>
      <c r="D10" s="7" t="s">
        <v>34</v>
      </c>
      <c r="E10" s="8">
        <v>20</v>
      </c>
      <c r="F10" s="28">
        <v>0</v>
      </c>
      <c r="G10" s="30">
        <v>0</v>
      </c>
      <c r="H10" s="31">
        <f t="shared" si="1"/>
        <v>0</v>
      </c>
      <c r="I10" s="9">
        <f t="shared" si="0"/>
        <v>0</v>
      </c>
      <c r="O10" s="23" t="s">
        <v>22</v>
      </c>
      <c r="P10" s="9">
        <f>SUM(I6:I35)</f>
        <v>0</v>
      </c>
    </row>
    <row r="11" spans="1:16" x14ac:dyDescent="0.25">
      <c r="A11" s="6">
        <v>45449</v>
      </c>
      <c r="B11" s="5" t="s">
        <v>47</v>
      </c>
      <c r="C11" s="3">
        <v>0</v>
      </c>
      <c r="D11" s="7" t="s">
        <v>13</v>
      </c>
      <c r="E11" s="8">
        <v>0</v>
      </c>
      <c r="F11" s="28">
        <v>0</v>
      </c>
      <c r="G11" s="30">
        <v>0</v>
      </c>
      <c r="H11" s="31">
        <f t="shared" si="1"/>
        <v>0</v>
      </c>
      <c r="I11" s="9">
        <f t="shared" si="0"/>
        <v>0</v>
      </c>
      <c r="O11" s="24" t="s">
        <v>24</v>
      </c>
      <c r="P11" s="34">
        <f>P9+P10</f>
        <v>899.92899999999997</v>
      </c>
    </row>
    <row r="12" spans="1:16" ht="18" customHeight="1" x14ac:dyDescent="0.25">
      <c r="A12" s="6">
        <v>45450</v>
      </c>
      <c r="B12" s="5" t="s">
        <v>128</v>
      </c>
      <c r="C12" s="3">
        <v>140</v>
      </c>
      <c r="D12" s="7" t="s">
        <v>34</v>
      </c>
      <c r="E12" s="8">
        <v>20</v>
      </c>
      <c r="F12" s="28">
        <v>102.54</v>
      </c>
      <c r="G12" s="30">
        <v>0</v>
      </c>
      <c r="H12" s="31">
        <f t="shared" si="1"/>
        <v>87.159000000000006</v>
      </c>
      <c r="I12" s="9">
        <f t="shared" si="0"/>
        <v>0</v>
      </c>
      <c r="O12" s="25" t="s">
        <v>67</v>
      </c>
      <c r="P12" s="26">
        <f>SUM(P8+P11)</f>
        <v>4069.9290000000001</v>
      </c>
    </row>
    <row r="13" spans="1:16" x14ac:dyDescent="0.25">
      <c r="A13" s="6">
        <v>45451</v>
      </c>
      <c r="B13" s="5" t="s">
        <v>81</v>
      </c>
      <c r="C13" s="3">
        <v>200</v>
      </c>
      <c r="D13" s="7" t="s">
        <v>34</v>
      </c>
      <c r="E13" s="8">
        <v>20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45452</v>
      </c>
      <c r="B14" s="5" t="s">
        <v>47</v>
      </c>
      <c r="C14" s="3">
        <v>0</v>
      </c>
      <c r="D14" s="7" t="s">
        <v>13</v>
      </c>
      <c r="E14" s="8">
        <v>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45453</v>
      </c>
      <c r="B15" s="5" t="s">
        <v>47</v>
      </c>
      <c r="C15" s="3">
        <v>0</v>
      </c>
      <c r="D15" s="7" t="s">
        <v>13</v>
      </c>
      <c r="E15" s="8">
        <v>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45454</v>
      </c>
      <c r="B16" s="5" t="s">
        <v>47</v>
      </c>
      <c r="C16" s="3">
        <v>0</v>
      </c>
      <c r="D16" s="7" t="s">
        <v>13</v>
      </c>
      <c r="E16" s="8">
        <v>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45455</v>
      </c>
      <c r="B17" s="5" t="s">
        <v>47</v>
      </c>
      <c r="C17" s="3">
        <v>0</v>
      </c>
      <c r="D17" s="7" t="s">
        <v>13</v>
      </c>
      <c r="E17" s="8">
        <v>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45456</v>
      </c>
      <c r="B18" s="5" t="s">
        <v>50</v>
      </c>
      <c r="C18" s="3">
        <v>120</v>
      </c>
      <c r="D18" s="7" t="s">
        <v>13</v>
      </c>
      <c r="E18" s="8">
        <v>0</v>
      </c>
      <c r="F18" s="28">
        <v>168.4</v>
      </c>
      <c r="G18" s="30">
        <v>0</v>
      </c>
      <c r="H18" s="31">
        <f t="shared" si="1"/>
        <v>143.14000000000001</v>
      </c>
      <c r="I18" s="9">
        <f t="shared" si="0"/>
        <v>0</v>
      </c>
    </row>
    <row r="19" spans="1:9" x14ac:dyDescent="0.25">
      <c r="A19" s="6">
        <v>45457</v>
      </c>
      <c r="B19" s="5" t="s">
        <v>129</v>
      </c>
      <c r="C19" s="3">
        <v>70</v>
      </c>
      <c r="D19" s="7" t="s">
        <v>13</v>
      </c>
      <c r="E19" s="8">
        <v>0</v>
      </c>
      <c r="F19" s="28">
        <v>13</v>
      </c>
      <c r="G19" s="30">
        <v>0</v>
      </c>
      <c r="H19" s="31">
        <f t="shared" si="1"/>
        <v>11.049999999999999</v>
      </c>
      <c r="I19" s="9">
        <f t="shared" si="0"/>
        <v>0</v>
      </c>
    </row>
    <row r="20" spans="1:9" x14ac:dyDescent="0.25">
      <c r="A20" s="6">
        <v>45458</v>
      </c>
      <c r="B20" s="5" t="s">
        <v>47</v>
      </c>
      <c r="C20" s="3">
        <v>0</v>
      </c>
      <c r="D20" s="7" t="s">
        <v>13</v>
      </c>
      <c r="E20" s="8">
        <v>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45459</v>
      </c>
      <c r="B21" s="5" t="s">
        <v>47</v>
      </c>
      <c r="C21" s="3">
        <v>0</v>
      </c>
      <c r="D21" s="7" t="s">
        <v>13</v>
      </c>
      <c r="E21" s="8">
        <v>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45460</v>
      </c>
      <c r="B22" s="5" t="s">
        <v>130</v>
      </c>
      <c r="C22" s="3">
        <v>220</v>
      </c>
      <c r="D22" s="7" t="s">
        <v>13</v>
      </c>
      <c r="E22" s="8">
        <v>0</v>
      </c>
      <c r="F22" s="28">
        <v>168.4</v>
      </c>
      <c r="G22" s="30">
        <v>0</v>
      </c>
      <c r="H22" s="31">
        <f t="shared" si="1"/>
        <v>143.14000000000001</v>
      </c>
      <c r="I22" s="9">
        <f t="shared" si="0"/>
        <v>0</v>
      </c>
    </row>
    <row r="23" spans="1:9" x14ac:dyDescent="0.25">
      <c r="A23" s="6">
        <v>45461</v>
      </c>
      <c r="B23" s="5" t="s">
        <v>120</v>
      </c>
      <c r="C23" s="3">
        <v>70</v>
      </c>
      <c r="D23" s="7" t="s">
        <v>13</v>
      </c>
      <c r="E23" s="8">
        <v>0</v>
      </c>
      <c r="F23" s="28">
        <v>168.4</v>
      </c>
      <c r="G23" s="30">
        <v>0</v>
      </c>
      <c r="H23" s="31">
        <f t="shared" si="1"/>
        <v>143.14000000000001</v>
      </c>
      <c r="I23" s="9">
        <f t="shared" si="0"/>
        <v>0</v>
      </c>
    </row>
    <row r="24" spans="1:9" x14ac:dyDescent="0.25">
      <c r="A24" s="6">
        <v>45462</v>
      </c>
      <c r="B24" s="5" t="s">
        <v>120</v>
      </c>
      <c r="C24" s="3">
        <v>70</v>
      </c>
      <c r="D24" s="7" t="s">
        <v>13</v>
      </c>
      <c r="E24" s="8">
        <v>0</v>
      </c>
      <c r="F24" s="28">
        <v>168.4</v>
      </c>
      <c r="G24" s="30">
        <v>0</v>
      </c>
      <c r="H24" s="31">
        <f t="shared" si="1"/>
        <v>143.14000000000001</v>
      </c>
      <c r="I24" s="9">
        <f t="shared" si="0"/>
        <v>0</v>
      </c>
    </row>
    <row r="25" spans="1:9" x14ac:dyDescent="0.25">
      <c r="A25" s="6">
        <v>45463</v>
      </c>
      <c r="B25" s="5" t="s">
        <v>98</v>
      </c>
      <c r="C25" s="3">
        <v>100</v>
      </c>
      <c r="D25" s="7" t="s">
        <v>34</v>
      </c>
      <c r="E25" s="8">
        <v>20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45464</v>
      </c>
      <c r="B26" s="5" t="s">
        <v>47</v>
      </c>
      <c r="C26" s="3">
        <v>0</v>
      </c>
      <c r="D26" s="7" t="s">
        <v>13</v>
      </c>
      <c r="E26" s="8">
        <v>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45465</v>
      </c>
      <c r="B27" s="5" t="s">
        <v>47</v>
      </c>
      <c r="C27" s="3">
        <v>0</v>
      </c>
      <c r="D27" s="7" t="s">
        <v>13</v>
      </c>
      <c r="E27" s="8">
        <v>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45466</v>
      </c>
      <c r="B28" s="5" t="s">
        <v>47</v>
      </c>
      <c r="C28" s="3">
        <v>0</v>
      </c>
      <c r="D28" s="7" t="s">
        <v>13</v>
      </c>
      <c r="E28" s="8">
        <v>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45467</v>
      </c>
      <c r="B29" s="5" t="s">
        <v>47</v>
      </c>
      <c r="C29" s="3">
        <v>0</v>
      </c>
      <c r="D29" s="7" t="s">
        <v>13</v>
      </c>
      <c r="E29" s="8">
        <v>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45468</v>
      </c>
      <c r="B30" s="5" t="s">
        <v>47</v>
      </c>
      <c r="C30" s="3">
        <v>0</v>
      </c>
      <c r="D30" s="7" t="s">
        <v>13</v>
      </c>
      <c r="E30" s="8">
        <v>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45469</v>
      </c>
      <c r="B31" s="5" t="s">
        <v>131</v>
      </c>
      <c r="C31" s="3">
        <v>220</v>
      </c>
      <c r="D31" s="7" t="s">
        <v>13</v>
      </c>
      <c r="E31" s="8">
        <v>0</v>
      </c>
      <c r="F31" s="28">
        <v>101.2</v>
      </c>
      <c r="G31" s="30">
        <v>0</v>
      </c>
      <c r="H31" s="31">
        <f t="shared" si="1"/>
        <v>86.02</v>
      </c>
      <c r="I31" s="9">
        <f t="shared" si="0"/>
        <v>0</v>
      </c>
    </row>
    <row r="32" spans="1:9" x14ac:dyDescent="0.25">
      <c r="A32" s="6">
        <v>45470</v>
      </c>
      <c r="B32" s="5" t="s">
        <v>133</v>
      </c>
      <c r="C32" s="3">
        <v>540</v>
      </c>
      <c r="D32" s="7" t="s">
        <v>13</v>
      </c>
      <c r="E32" s="8">
        <v>0</v>
      </c>
      <c r="F32" s="28">
        <v>168.4</v>
      </c>
      <c r="G32" s="30">
        <v>0</v>
      </c>
      <c r="H32" s="31">
        <f t="shared" si="1"/>
        <v>143.14000000000001</v>
      </c>
      <c r="I32" s="9">
        <f t="shared" si="0"/>
        <v>0</v>
      </c>
    </row>
    <row r="33" spans="1:9" x14ac:dyDescent="0.25">
      <c r="A33" s="6">
        <v>45471</v>
      </c>
      <c r="B33" s="5" t="s">
        <v>134</v>
      </c>
      <c r="C33" s="3">
        <v>210</v>
      </c>
      <c r="D33" s="7" t="s">
        <v>34</v>
      </c>
      <c r="E33" s="8">
        <v>40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45472</v>
      </c>
      <c r="B34" s="5" t="s">
        <v>81</v>
      </c>
      <c r="C34" s="3">
        <v>200</v>
      </c>
      <c r="D34" s="7" t="s">
        <v>34</v>
      </c>
      <c r="E34" s="8">
        <v>20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45473</v>
      </c>
      <c r="B35" s="5" t="s">
        <v>47</v>
      </c>
      <c r="C35" s="3">
        <v>0</v>
      </c>
      <c r="D35" s="7" t="s">
        <v>13</v>
      </c>
      <c r="E35" s="8">
        <v>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36"/>
      <c r="B36" s="36"/>
      <c r="C36" s="36"/>
      <c r="D36" s="36"/>
      <c r="E36" s="36"/>
      <c r="F36" s="37">
        <f>SUM(F6:F35)</f>
        <v>1058.74</v>
      </c>
      <c r="G36" s="37">
        <f>SUM(G6:G35)</f>
        <v>0</v>
      </c>
      <c r="H36" s="36"/>
      <c r="I36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 tint="0.249977111117893"/>
  </sheetPr>
  <dimension ref="A1:P37"/>
  <sheetViews>
    <sheetView topLeftCell="E1" workbookViewId="0">
      <selection activeCell="B38" sqref="B38"/>
    </sheetView>
  </sheetViews>
  <sheetFormatPr defaultRowHeight="15" x14ac:dyDescent="0.25"/>
  <cols>
    <col min="1" max="1" width="13.140625" customWidth="1"/>
    <col min="2" max="2" width="48" customWidth="1"/>
    <col min="3" max="3" width="14.28515625" customWidth="1"/>
    <col min="4" max="4" width="20.28515625" customWidth="1"/>
    <col min="5" max="5" width="23.28515625" customWidth="1"/>
    <col min="6" max="6" width="24.5703125" customWidth="1"/>
    <col min="7" max="7" width="23.7109375" customWidth="1"/>
    <col min="8" max="8" width="35" customWidth="1"/>
    <col min="9" max="9" width="37" customWidth="1"/>
    <col min="15" max="15" width="41.140625" customWidth="1"/>
    <col min="16" max="16" width="20.285156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18.75" x14ac:dyDescent="0.3">
      <c r="A4" s="81" t="s">
        <v>71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SUM(C6:C36)</f>
        <v>2780</v>
      </c>
    </row>
    <row r="5" spans="1:16" ht="21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SUM(E6:E36)</f>
        <v>220</v>
      </c>
    </row>
    <row r="6" spans="1:16" ht="21.75" customHeight="1" x14ac:dyDescent="0.25">
      <c r="A6" s="6">
        <v>45474</v>
      </c>
      <c r="B6" s="5" t="s">
        <v>47</v>
      </c>
      <c r="C6" s="3">
        <v>0</v>
      </c>
      <c r="D6" s="7" t="s">
        <v>132</v>
      </c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45475</v>
      </c>
      <c r="B7" s="5" t="s">
        <v>135</v>
      </c>
      <c r="C7" s="3">
        <v>450</v>
      </c>
      <c r="D7" s="7" t="s">
        <v>34</v>
      </c>
      <c r="E7" s="8">
        <v>20</v>
      </c>
      <c r="F7" s="28">
        <v>0</v>
      </c>
      <c r="G7" s="30">
        <v>0</v>
      </c>
      <c r="H7" s="31">
        <v>0</v>
      </c>
      <c r="I7" s="9">
        <f t="shared" ref="I7:I36" si="0">G7*0.9</f>
        <v>0</v>
      </c>
      <c r="O7" s="13" t="s">
        <v>54</v>
      </c>
      <c r="P7" s="14">
        <f>SUM(F37+G37)</f>
        <v>304.7</v>
      </c>
    </row>
    <row r="8" spans="1:16" x14ac:dyDescent="0.25">
      <c r="A8" s="6">
        <v>45476</v>
      </c>
      <c r="B8" s="5" t="s">
        <v>47</v>
      </c>
      <c r="C8" s="3">
        <v>0</v>
      </c>
      <c r="D8" s="7" t="s">
        <v>132</v>
      </c>
      <c r="E8" s="8">
        <v>0</v>
      </c>
      <c r="F8" s="28">
        <v>0</v>
      </c>
      <c r="G8" s="30">
        <v>0</v>
      </c>
      <c r="H8" s="31">
        <f t="shared" ref="H8:H36" si="1">F8*0.85</f>
        <v>0</v>
      </c>
      <c r="I8" s="9">
        <f t="shared" si="0"/>
        <v>0</v>
      </c>
      <c r="O8" s="20" t="s">
        <v>18</v>
      </c>
      <c r="P8" s="21">
        <f>SUM(P5+P4)</f>
        <v>3000</v>
      </c>
    </row>
    <row r="9" spans="1:16" x14ac:dyDescent="0.25">
      <c r="A9" s="6">
        <v>45477</v>
      </c>
      <c r="B9" s="5" t="s">
        <v>120</v>
      </c>
      <c r="C9" s="3">
        <v>70</v>
      </c>
      <c r="D9" s="7" t="s">
        <v>132</v>
      </c>
      <c r="E9" s="8">
        <v>0</v>
      </c>
      <c r="F9" s="28">
        <v>101.2</v>
      </c>
      <c r="G9" s="30">
        <v>0</v>
      </c>
      <c r="H9" s="31">
        <f t="shared" si="1"/>
        <v>86.02</v>
      </c>
      <c r="I9" s="9">
        <f t="shared" si="0"/>
        <v>0</v>
      </c>
      <c r="O9" s="22" t="s">
        <v>21</v>
      </c>
      <c r="P9" s="33">
        <f>SUM(H6:H36)</f>
        <v>258.995</v>
      </c>
    </row>
    <row r="10" spans="1:16" x14ac:dyDescent="0.25">
      <c r="A10" s="6">
        <v>45478</v>
      </c>
      <c r="B10" s="5" t="s">
        <v>136</v>
      </c>
      <c r="C10" s="3">
        <v>220</v>
      </c>
      <c r="D10" s="7" t="s">
        <v>13</v>
      </c>
      <c r="E10" s="8">
        <v>0</v>
      </c>
      <c r="F10" s="28">
        <v>101.2</v>
      </c>
      <c r="G10" s="30">
        <v>0</v>
      </c>
      <c r="H10" s="31">
        <f t="shared" si="1"/>
        <v>86.02</v>
      </c>
      <c r="I10" s="9">
        <f t="shared" si="0"/>
        <v>0</v>
      </c>
      <c r="O10" s="23" t="s">
        <v>22</v>
      </c>
      <c r="P10" s="9">
        <f>SUM(I6:I36)</f>
        <v>0</v>
      </c>
    </row>
    <row r="11" spans="1:16" x14ac:dyDescent="0.25">
      <c r="A11" s="6">
        <v>45479</v>
      </c>
      <c r="B11" s="5" t="s">
        <v>98</v>
      </c>
      <c r="C11" s="3">
        <v>100</v>
      </c>
      <c r="D11" s="7" t="s">
        <v>34</v>
      </c>
      <c r="E11" s="8">
        <v>0</v>
      </c>
      <c r="F11" s="28">
        <v>0</v>
      </c>
      <c r="G11" s="30">
        <v>0</v>
      </c>
      <c r="H11" s="31">
        <f t="shared" si="1"/>
        <v>0</v>
      </c>
      <c r="I11" s="9">
        <f t="shared" si="0"/>
        <v>0</v>
      </c>
      <c r="O11" s="24" t="s">
        <v>24</v>
      </c>
      <c r="P11" s="34">
        <f>P9+P10</f>
        <v>258.995</v>
      </c>
    </row>
    <row r="12" spans="1:16" ht="16.5" customHeight="1" x14ac:dyDescent="0.25">
      <c r="A12" s="6">
        <v>45480</v>
      </c>
      <c r="B12" s="5" t="s">
        <v>47</v>
      </c>
      <c r="C12" s="3">
        <v>0</v>
      </c>
      <c r="D12" s="7" t="s">
        <v>132</v>
      </c>
      <c r="E12" s="8">
        <v>0</v>
      </c>
      <c r="F12" s="28">
        <v>0</v>
      </c>
      <c r="G12" s="30">
        <v>0</v>
      </c>
      <c r="H12" s="31">
        <f t="shared" si="1"/>
        <v>0</v>
      </c>
      <c r="I12" s="9">
        <f t="shared" si="0"/>
        <v>0</v>
      </c>
      <c r="O12" s="25" t="s">
        <v>67</v>
      </c>
      <c r="P12" s="26">
        <f>SUM(P8+P11)</f>
        <v>3258.9949999999999</v>
      </c>
    </row>
    <row r="13" spans="1:16" x14ac:dyDescent="0.25">
      <c r="A13" s="6">
        <v>45481</v>
      </c>
      <c r="B13" s="5" t="s">
        <v>137</v>
      </c>
      <c r="C13" s="3">
        <v>40</v>
      </c>
      <c r="D13" s="7" t="s">
        <v>132</v>
      </c>
      <c r="E13" s="8">
        <v>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45482</v>
      </c>
      <c r="B14" s="5" t="s">
        <v>47</v>
      </c>
      <c r="C14" s="3">
        <v>0</v>
      </c>
      <c r="D14" s="7" t="s">
        <v>132</v>
      </c>
      <c r="E14" s="8">
        <v>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45483</v>
      </c>
      <c r="B15" s="5" t="s">
        <v>98</v>
      </c>
      <c r="C15" s="3">
        <v>100</v>
      </c>
      <c r="D15" s="7" t="s">
        <v>34</v>
      </c>
      <c r="E15" s="8">
        <v>20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45484</v>
      </c>
      <c r="B16" s="5" t="s">
        <v>138</v>
      </c>
      <c r="C16" s="3">
        <v>170</v>
      </c>
      <c r="D16" s="7" t="s">
        <v>34</v>
      </c>
      <c r="E16" s="8">
        <v>20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45485</v>
      </c>
      <c r="B17" s="5" t="s">
        <v>139</v>
      </c>
      <c r="C17" s="3">
        <v>200</v>
      </c>
      <c r="D17" s="7" t="s">
        <v>132</v>
      </c>
      <c r="E17" s="8">
        <v>0</v>
      </c>
      <c r="F17" s="28">
        <v>102.3</v>
      </c>
      <c r="G17" s="30">
        <v>0</v>
      </c>
      <c r="H17" s="31">
        <f t="shared" si="1"/>
        <v>86.954999999999998</v>
      </c>
      <c r="I17" s="9">
        <f t="shared" si="0"/>
        <v>0</v>
      </c>
    </row>
    <row r="18" spans="1:9" x14ac:dyDescent="0.25">
      <c r="A18" s="6">
        <v>45486</v>
      </c>
      <c r="B18" s="5" t="s">
        <v>140</v>
      </c>
      <c r="C18" s="3">
        <v>280</v>
      </c>
      <c r="D18" s="7" t="s">
        <v>34</v>
      </c>
      <c r="E18" s="8">
        <v>20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45487</v>
      </c>
      <c r="B19" s="5" t="s">
        <v>47</v>
      </c>
      <c r="C19" s="3">
        <v>0</v>
      </c>
      <c r="D19" s="7" t="s">
        <v>13</v>
      </c>
      <c r="E19" s="8">
        <v>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45488</v>
      </c>
      <c r="B20" s="5" t="s">
        <v>139</v>
      </c>
      <c r="C20" s="3">
        <v>200</v>
      </c>
      <c r="D20" s="7" t="s">
        <v>34</v>
      </c>
      <c r="E20" s="8">
        <v>20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45489</v>
      </c>
      <c r="B21" s="5" t="s">
        <v>141</v>
      </c>
      <c r="C21" s="3">
        <v>150</v>
      </c>
      <c r="D21" s="7" t="s">
        <v>34</v>
      </c>
      <c r="E21" s="8">
        <v>20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45490</v>
      </c>
      <c r="B22" s="5" t="s">
        <v>47</v>
      </c>
      <c r="C22" s="3">
        <v>0</v>
      </c>
      <c r="D22" s="7"/>
      <c r="E22" s="8">
        <v>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45491</v>
      </c>
      <c r="B23" s="5" t="s">
        <v>142</v>
      </c>
      <c r="C23" s="3">
        <v>100</v>
      </c>
      <c r="D23" s="7" t="s">
        <v>34</v>
      </c>
      <c r="E23" s="8">
        <v>20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45492</v>
      </c>
      <c r="B24" s="5" t="s">
        <v>47</v>
      </c>
      <c r="C24" s="3">
        <v>0</v>
      </c>
      <c r="D24" s="7"/>
      <c r="E24" s="8">
        <v>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45493</v>
      </c>
      <c r="B25" s="5" t="s">
        <v>47</v>
      </c>
      <c r="C25" s="3">
        <v>0</v>
      </c>
      <c r="D25" s="7"/>
      <c r="E25" s="8">
        <v>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45494</v>
      </c>
      <c r="B26" s="5" t="s">
        <v>47</v>
      </c>
      <c r="C26" s="3">
        <v>0</v>
      </c>
      <c r="D26" s="7"/>
      <c r="E26" s="8">
        <v>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45495</v>
      </c>
      <c r="B27" s="5" t="s">
        <v>47</v>
      </c>
      <c r="C27" s="3">
        <v>0</v>
      </c>
      <c r="D27" s="7"/>
      <c r="E27" s="8">
        <v>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45496</v>
      </c>
      <c r="B28" s="5" t="s">
        <v>139</v>
      </c>
      <c r="C28" s="3">
        <v>200</v>
      </c>
      <c r="D28" s="7" t="s">
        <v>34</v>
      </c>
      <c r="E28" s="8">
        <v>20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45497</v>
      </c>
      <c r="B29" s="5" t="s">
        <v>111</v>
      </c>
      <c r="C29" s="3">
        <v>100</v>
      </c>
      <c r="D29" s="7" t="s">
        <v>34</v>
      </c>
      <c r="E29" s="8">
        <v>20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45498</v>
      </c>
      <c r="B30" s="5" t="s">
        <v>143</v>
      </c>
      <c r="C30" s="3">
        <v>260</v>
      </c>
      <c r="D30" s="7" t="s">
        <v>34</v>
      </c>
      <c r="E30" s="8">
        <v>20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45499</v>
      </c>
      <c r="B31" s="5" t="s">
        <v>144</v>
      </c>
      <c r="C31" s="3">
        <v>140</v>
      </c>
      <c r="D31" s="7" t="s">
        <v>34</v>
      </c>
      <c r="E31" s="8">
        <v>20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45500</v>
      </c>
      <c r="B32" s="5" t="s">
        <v>47</v>
      </c>
      <c r="C32" s="3">
        <v>0</v>
      </c>
      <c r="D32" s="7"/>
      <c r="E32" s="8">
        <v>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45501</v>
      </c>
      <c r="B33" s="5" t="s">
        <v>47</v>
      </c>
      <c r="C33" s="3">
        <v>0</v>
      </c>
      <c r="D33" s="7"/>
      <c r="E33" s="8">
        <v>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45502</v>
      </c>
      <c r="B34" s="5" t="s">
        <v>47</v>
      </c>
      <c r="C34" s="3">
        <v>0</v>
      </c>
      <c r="D34" s="7"/>
      <c r="E34" s="8">
        <v>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45503</v>
      </c>
      <c r="B35" s="5" t="s">
        <v>47</v>
      </c>
      <c r="C35" s="3">
        <v>0</v>
      </c>
      <c r="D35" s="7"/>
      <c r="E35" s="8">
        <v>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6">
        <v>45504</v>
      </c>
      <c r="B36" s="5" t="s">
        <v>47</v>
      </c>
      <c r="C36" s="3">
        <v>0</v>
      </c>
      <c r="D36" s="7"/>
      <c r="E36" s="8">
        <v>0</v>
      </c>
      <c r="F36" s="28">
        <v>0</v>
      </c>
      <c r="G36" s="30">
        <v>0</v>
      </c>
      <c r="H36" s="31">
        <f t="shared" si="1"/>
        <v>0</v>
      </c>
      <c r="I36" s="9">
        <f t="shared" si="0"/>
        <v>0</v>
      </c>
    </row>
    <row r="37" spans="1:9" x14ac:dyDescent="0.25">
      <c r="A37" s="36"/>
      <c r="B37" s="36" t="s">
        <v>145</v>
      </c>
      <c r="C37" s="36"/>
      <c r="D37" s="36"/>
      <c r="E37" s="36"/>
      <c r="F37" s="37">
        <f>SUM(F6:F36)</f>
        <v>304.7</v>
      </c>
      <c r="G37" s="37">
        <f>SUM(G6:G36)</f>
        <v>0</v>
      </c>
      <c r="H37" s="36"/>
      <c r="I37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P37"/>
  <sheetViews>
    <sheetView topLeftCell="E1" workbookViewId="0">
      <selection activeCell="L4" sqref="L4"/>
    </sheetView>
  </sheetViews>
  <sheetFormatPr defaultRowHeight="15" x14ac:dyDescent="0.25"/>
  <cols>
    <col min="1" max="1" width="13.28515625" customWidth="1"/>
    <col min="2" max="2" width="79.42578125" customWidth="1"/>
    <col min="3" max="3" width="17.7109375" customWidth="1"/>
    <col min="4" max="4" width="15.85546875" customWidth="1"/>
    <col min="5" max="5" width="18" customWidth="1"/>
    <col min="6" max="6" width="24.85546875" customWidth="1"/>
    <col min="7" max="7" width="28.7109375" customWidth="1"/>
    <col min="8" max="8" width="37.42578125" customWidth="1"/>
    <col min="9" max="9" width="36.5703125" customWidth="1"/>
    <col min="15" max="15" width="41.5703125" customWidth="1"/>
    <col min="16" max="16" width="21.1406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5.5" customHeight="1" x14ac:dyDescent="0.3">
      <c r="A4" s="81" t="s">
        <v>70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SUM(C6:C36)</f>
        <v>3400</v>
      </c>
    </row>
    <row r="5" spans="1:16" ht="18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SUM(E6:E36)</f>
        <v>320</v>
      </c>
    </row>
    <row r="6" spans="1:16" ht="14.25" customHeight="1" x14ac:dyDescent="0.25">
      <c r="A6" s="6">
        <v>45505</v>
      </c>
      <c r="B6" s="5" t="s">
        <v>47</v>
      </c>
      <c r="C6" s="3">
        <v>0</v>
      </c>
      <c r="D6" s="7"/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45506</v>
      </c>
      <c r="B7" s="5" t="s">
        <v>47</v>
      </c>
      <c r="C7" s="3">
        <v>0</v>
      </c>
      <c r="D7" s="7"/>
      <c r="E7" s="8">
        <v>0</v>
      </c>
      <c r="F7" s="28">
        <v>0</v>
      </c>
      <c r="G7" s="30">
        <v>0</v>
      </c>
      <c r="H7" s="31">
        <v>0</v>
      </c>
      <c r="I7" s="9">
        <f t="shared" ref="I7:I36" si="0">G7*0.9</f>
        <v>0</v>
      </c>
      <c r="O7" s="13" t="s">
        <v>54</v>
      </c>
      <c r="P7" s="14">
        <f>SUM(F37+G37)</f>
        <v>732.9</v>
      </c>
    </row>
    <row r="8" spans="1:16" x14ac:dyDescent="0.25">
      <c r="A8" s="6">
        <v>45507</v>
      </c>
      <c r="B8" s="5" t="s">
        <v>47</v>
      </c>
      <c r="C8" s="3">
        <v>0</v>
      </c>
      <c r="D8" s="7"/>
      <c r="E8" s="8">
        <v>0</v>
      </c>
      <c r="F8" s="28">
        <v>0</v>
      </c>
      <c r="G8" s="30">
        <v>0</v>
      </c>
      <c r="H8" s="31">
        <f t="shared" ref="H8:H36" si="1">F8*0.85</f>
        <v>0</v>
      </c>
      <c r="I8" s="9">
        <f t="shared" si="0"/>
        <v>0</v>
      </c>
      <c r="O8" s="20" t="s">
        <v>18</v>
      </c>
      <c r="P8" s="21">
        <f>SUM(P5+P4)</f>
        <v>3720</v>
      </c>
    </row>
    <row r="9" spans="1:16" x14ac:dyDescent="0.25">
      <c r="A9" s="6">
        <v>45508</v>
      </c>
      <c r="B9" s="5" t="s">
        <v>47</v>
      </c>
      <c r="C9" s="3">
        <v>0</v>
      </c>
      <c r="D9" s="7"/>
      <c r="E9" s="8">
        <v>0</v>
      </c>
      <c r="F9" s="28">
        <v>0</v>
      </c>
      <c r="G9" s="30">
        <v>0</v>
      </c>
      <c r="H9" s="31">
        <f t="shared" si="1"/>
        <v>0</v>
      </c>
      <c r="I9" s="9">
        <f t="shared" si="0"/>
        <v>0</v>
      </c>
      <c r="O9" s="22" t="s">
        <v>21</v>
      </c>
      <c r="P9" s="33">
        <f>SUM(H6:H36)</f>
        <v>622.96500000000003</v>
      </c>
    </row>
    <row r="10" spans="1:16" x14ac:dyDescent="0.25">
      <c r="A10" s="6">
        <v>45509</v>
      </c>
      <c r="B10" s="5" t="s">
        <v>47</v>
      </c>
      <c r="C10" s="3">
        <v>0</v>
      </c>
      <c r="D10" s="7"/>
      <c r="E10" s="8">
        <v>0</v>
      </c>
      <c r="F10" s="28">
        <v>0</v>
      </c>
      <c r="G10" s="30">
        <v>0</v>
      </c>
      <c r="H10" s="31">
        <f t="shared" si="1"/>
        <v>0</v>
      </c>
      <c r="I10" s="9">
        <f t="shared" si="0"/>
        <v>0</v>
      </c>
      <c r="O10" s="23" t="s">
        <v>22</v>
      </c>
      <c r="P10" s="9">
        <f>SUM(I6:I36)</f>
        <v>0</v>
      </c>
    </row>
    <row r="11" spans="1:16" x14ac:dyDescent="0.25">
      <c r="A11" s="6">
        <v>45510</v>
      </c>
      <c r="B11" s="5" t="s">
        <v>146</v>
      </c>
      <c r="C11" s="3">
        <v>200</v>
      </c>
      <c r="D11" s="7"/>
      <c r="E11" s="8">
        <v>0</v>
      </c>
      <c r="F11" s="28">
        <v>102</v>
      </c>
      <c r="G11" s="30">
        <v>0</v>
      </c>
      <c r="H11" s="31">
        <f t="shared" si="1"/>
        <v>86.7</v>
      </c>
      <c r="I11" s="9">
        <f t="shared" si="0"/>
        <v>0</v>
      </c>
      <c r="O11" s="24" t="s">
        <v>24</v>
      </c>
      <c r="P11" s="34">
        <f>P9+P10</f>
        <v>622.96500000000003</v>
      </c>
    </row>
    <row r="12" spans="1:16" ht="14.25" customHeight="1" x14ac:dyDescent="0.25">
      <c r="A12" s="6">
        <v>45511</v>
      </c>
      <c r="B12" s="5" t="s">
        <v>146</v>
      </c>
      <c r="C12" s="3">
        <v>200</v>
      </c>
      <c r="D12" s="7"/>
      <c r="E12" s="8">
        <v>0</v>
      </c>
      <c r="F12" s="28">
        <v>102</v>
      </c>
      <c r="G12" s="30">
        <v>0</v>
      </c>
      <c r="H12" s="31">
        <f t="shared" si="1"/>
        <v>86.7</v>
      </c>
      <c r="I12" s="9">
        <f t="shared" si="0"/>
        <v>0</v>
      </c>
      <c r="O12" s="25" t="s">
        <v>67</v>
      </c>
      <c r="P12" s="26">
        <f>SUM(P8+P11)</f>
        <v>4342.9650000000001</v>
      </c>
    </row>
    <row r="13" spans="1:16" x14ac:dyDescent="0.25">
      <c r="A13" s="6">
        <v>45512</v>
      </c>
      <c r="B13" s="5" t="s">
        <v>147</v>
      </c>
      <c r="C13" s="3">
        <v>140</v>
      </c>
      <c r="D13" s="7" t="s">
        <v>112</v>
      </c>
      <c r="E13" s="8">
        <v>20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45513</v>
      </c>
      <c r="B14" s="5" t="s">
        <v>47</v>
      </c>
      <c r="C14" s="3">
        <v>0</v>
      </c>
      <c r="D14" s="7"/>
      <c r="E14" s="8">
        <v>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45514</v>
      </c>
      <c r="B15" s="5" t="s">
        <v>148</v>
      </c>
      <c r="C15" s="3">
        <v>100</v>
      </c>
      <c r="D15" s="7" t="s">
        <v>112</v>
      </c>
      <c r="E15" s="8">
        <v>20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45515</v>
      </c>
      <c r="B16" s="5" t="s">
        <v>47</v>
      </c>
      <c r="C16" s="3">
        <v>0</v>
      </c>
      <c r="D16" s="7"/>
      <c r="E16" s="8">
        <v>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45516</v>
      </c>
      <c r="B17" s="5" t="s">
        <v>149</v>
      </c>
      <c r="C17" s="3">
        <v>70</v>
      </c>
      <c r="D17" s="7" t="s">
        <v>112</v>
      </c>
      <c r="E17" s="8">
        <v>20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45517</v>
      </c>
      <c r="B18" s="5" t="s">
        <v>47</v>
      </c>
      <c r="C18" s="3">
        <v>0</v>
      </c>
      <c r="D18" s="7"/>
      <c r="E18" s="8">
        <v>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45518</v>
      </c>
      <c r="B19" s="5" t="s">
        <v>150</v>
      </c>
      <c r="C19" s="3">
        <v>220</v>
      </c>
      <c r="D19" s="7" t="s">
        <v>34</v>
      </c>
      <c r="E19" s="8">
        <v>20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45519</v>
      </c>
      <c r="B20" s="5" t="s">
        <v>151</v>
      </c>
      <c r="C20" s="3">
        <v>200</v>
      </c>
      <c r="D20" s="7" t="s">
        <v>112</v>
      </c>
      <c r="E20" s="8">
        <v>20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45520</v>
      </c>
      <c r="B21" s="5" t="s">
        <v>149</v>
      </c>
      <c r="C21" s="3">
        <v>70</v>
      </c>
      <c r="D21" s="7"/>
      <c r="E21" s="8">
        <v>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45521</v>
      </c>
      <c r="B22" s="5" t="s">
        <v>152</v>
      </c>
      <c r="C22" s="3">
        <v>260</v>
      </c>
      <c r="D22" s="7" t="s">
        <v>13</v>
      </c>
      <c r="E22" s="8">
        <v>0</v>
      </c>
      <c r="F22" s="28">
        <v>154.4</v>
      </c>
      <c r="G22" s="30">
        <v>0</v>
      </c>
      <c r="H22" s="31">
        <f t="shared" si="1"/>
        <v>131.24</v>
      </c>
      <c r="I22" s="9">
        <f t="shared" si="0"/>
        <v>0</v>
      </c>
    </row>
    <row r="23" spans="1:9" x14ac:dyDescent="0.25">
      <c r="A23" s="6">
        <v>45522</v>
      </c>
      <c r="B23" s="5" t="s">
        <v>47</v>
      </c>
      <c r="C23" s="3">
        <v>0</v>
      </c>
      <c r="D23" s="7"/>
      <c r="E23" s="8">
        <v>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45523</v>
      </c>
      <c r="B24" s="5" t="s">
        <v>153</v>
      </c>
      <c r="C24" s="3">
        <v>220</v>
      </c>
      <c r="D24" s="7" t="s">
        <v>112</v>
      </c>
      <c r="E24" s="8">
        <v>20</v>
      </c>
      <c r="F24" s="28">
        <v>102</v>
      </c>
      <c r="G24" s="30">
        <v>0</v>
      </c>
      <c r="H24" s="31">
        <f t="shared" si="1"/>
        <v>86.7</v>
      </c>
      <c r="I24" s="9">
        <f t="shared" si="0"/>
        <v>0</v>
      </c>
    </row>
    <row r="25" spans="1:9" x14ac:dyDescent="0.25">
      <c r="A25" s="6">
        <v>45524</v>
      </c>
      <c r="B25" s="5" t="s">
        <v>154</v>
      </c>
      <c r="C25" s="3">
        <v>100</v>
      </c>
      <c r="D25" s="7" t="s">
        <v>112</v>
      </c>
      <c r="E25" s="8">
        <v>20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45525</v>
      </c>
      <c r="B26" s="5" t="s">
        <v>155</v>
      </c>
      <c r="C26" s="3">
        <v>170</v>
      </c>
      <c r="D26" s="7" t="s">
        <v>34</v>
      </c>
      <c r="E26" s="8">
        <v>20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45526</v>
      </c>
      <c r="B27" s="5" t="s">
        <v>156</v>
      </c>
      <c r="C27" s="3">
        <v>170</v>
      </c>
      <c r="D27" s="7" t="s">
        <v>34</v>
      </c>
      <c r="E27" s="8">
        <v>20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45527</v>
      </c>
      <c r="B28" s="5" t="s">
        <v>157</v>
      </c>
      <c r="C28" s="3">
        <v>120</v>
      </c>
      <c r="D28" s="7" t="s">
        <v>13</v>
      </c>
      <c r="E28" s="8">
        <v>0</v>
      </c>
      <c r="F28" s="28">
        <v>168.4</v>
      </c>
      <c r="G28" s="30">
        <v>0</v>
      </c>
      <c r="H28" s="31">
        <f t="shared" si="1"/>
        <v>143.14000000000001</v>
      </c>
      <c r="I28" s="9">
        <f t="shared" si="0"/>
        <v>0</v>
      </c>
    </row>
    <row r="29" spans="1:9" x14ac:dyDescent="0.25">
      <c r="A29" s="6">
        <v>45528</v>
      </c>
      <c r="B29" s="5" t="s">
        <v>158</v>
      </c>
      <c r="C29" s="3">
        <v>200</v>
      </c>
      <c r="D29" s="7" t="s">
        <v>34</v>
      </c>
      <c r="E29" s="8">
        <v>20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45529</v>
      </c>
      <c r="B30" s="5" t="s">
        <v>47</v>
      </c>
      <c r="C30" s="3">
        <v>0</v>
      </c>
      <c r="D30" s="7"/>
      <c r="E30" s="8">
        <v>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45530</v>
      </c>
      <c r="B31" s="5" t="s">
        <v>159</v>
      </c>
      <c r="C31" s="3">
        <v>140</v>
      </c>
      <c r="D31" s="7" t="s">
        <v>112</v>
      </c>
      <c r="E31" s="8">
        <v>20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45531</v>
      </c>
      <c r="B32" s="5" t="s">
        <v>160</v>
      </c>
      <c r="C32" s="3">
        <v>200</v>
      </c>
      <c r="D32" s="7" t="s">
        <v>34</v>
      </c>
      <c r="E32" s="8">
        <v>20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45532</v>
      </c>
      <c r="B33" s="5" t="s">
        <v>47</v>
      </c>
      <c r="C33" s="3">
        <v>0</v>
      </c>
      <c r="D33" s="7" t="s">
        <v>132</v>
      </c>
      <c r="E33" s="8">
        <v>20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45533</v>
      </c>
      <c r="B34" s="5" t="s">
        <v>151</v>
      </c>
      <c r="C34" s="3">
        <v>200</v>
      </c>
      <c r="D34" s="7" t="s">
        <v>112</v>
      </c>
      <c r="E34" s="8">
        <v>20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45534</v>
      </c>
      <c r="B35" s="5" t="s">
        <v>161</v>
      </c>
      <c r="C35" s="3">
        <v>220</v>
      </c>
      <c r="D35" s="7" t="s">
        <v>112</v>
      </c>
      <c r="E35" s="8">
        <v>20</v>
      </c>
      <c r="F35" s="28">
        <v>104.1</v>
      </c>
      <c r="G35" s="30">
        <v>0</v>
      </c>
      <c r="H35" s="31">
        <f t="shared" si="1"/>
        <v>88.484999999999999</v>
      </c>
      <c r="I35" s="9">
        <f t="shared" si="0"/>
        <v>0</v>
      </c>
    </row>
    <row r="36" spans="1:9" x14ac:dyDescent="0.25">
      <c r="A36" s="6">
        <v>45535</v>
      </c>
      <c r="B36" s="5" t="s">
        <v>151</v>
      </c>
      <c r="C36" s="3">
        <v>200</v>
      </c>
      <c r="D36" s="7" t="s">
        <v>112</v>
      </c>
      <c r="E36" s="8">
        <v>20</v>
      </c>
      <c r="F36" s="28">
        <v>0</v>
      </c>
      <c r="G36" s="30">
        <v>0</v>
      </c>
      <c r="H36" s="31">
        <f t="shared" si="1"/>
        <v>0</v>
      </c>
      <c r="I36" s="9">
        <f t="shared" si="0"/>
        <v>0</v>
      </c>
    </row>
    <row r="37" spans="1:9" x14ac:dyDescent="0.25">
      <c r="A37" s="36"/>
      <c r="B37" s="36"/>
      <c r="C37" s="36"/>
      <c r="D37" s="36"/>
      <c r="E37" s="36"/>
      <c r="F37" s="37">
        <f>SUM(F6:F36)</f>
        <v>732.9</v>
      </c>
      <c r="G37" s="37">
        <f>SUM(G6:G36)</f>
        <v>0</v>
      </c>
      <c r="H37" s="36"/>
      <c r="I37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39997558519241921"/>
  </sheetPr>
  <dimension ref="A1:P36"/>
  <sheetViews>
    <sheetView topLeftCell="E1" workbookViewId="0">
      <selection activeCell="F7" sqref="F7"/>
    </sheetView>
  </sheetViews>
  <sheetFormatPr defaultRowHeight="15" x14ac:dyDescent="0.25"/>
  <cols>
    <col min="1" max="1" width="14.28515625" customWidth="1"/>
    <col min="2" max="2" width="37.85546875" customWidth="1"/>
    <col min="3" max="3" width="24.7109375" customWidth="1"/>
    <col min="4" max="4" width="22.7109375" customWidth="1"/>
    <col min="5" max="5" width="18.140625" customWidth="1"/>
    <col min="6" max="6" width="26.140625" customWidth="1"/>
    <col min="7" max="7" width="28.7109375" customWidth="1"/>
    <col min="8" max="8" width="35.85546875" customWidth="1"/>
    <col min="9" max="9" width="36.140625" customWidth="1"/>
    <col min="15" max="15" width="41.85546875" customWidth="1"/>
    <col min="16" max="16" width="24.57031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4" customHeight="1" x14ac:dyDescent="0.3">
      <c r="A4" s="81" t="s">
        <v>77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SUM(C6:C35)</f>
        <v>320</v>
      </c>
    </row>
    <row r="5" spans="1:16" ht="18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SUM(E6:E35)</f>
        <v>40</v>
      </c>
    </row>
    <row r="6" spans="1:16" ht="15.75" customHeight="1" x14ac:dyDescent="0.25">
      <c r="A6" s="6">
        <v>45536</v>
      </c>
      <c r="B6" s="5" t="s">
        <v>162</v>
      </c>
      <c r="C6" s="3">
        <v>200</v>
      </c>
      <c r="D6" s="7" t="s">
        <v>34</v>
      </c>
      <c r="E6" s="8">
        <v>20</v>
      </c>
      <c r="F6" s="28">
        <v>102</v>
      </c>
      <c r="G6" s="30">
        <v>0</v>
      </c>
      <c r="H6" s="31">
        <f>F6*0.85</f>
        <v>86.7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45537</v>
      </c>
      <c r="B7" s="5" t="s">
        <v>61</v>
      </c>
      <c r="C7" s="3">
        <v>120</v>
      </c>
      <c r="D7" s="7" t="s">
        <v>34</v>
      </c>
      <c r="E7" s="8">
        <v>20</v>
      </c>
      <c r="F7" s="28">
        <v>0</v>
      </c>
      <c r="G7" s="30">
        <v>0</v>
      </c>
      <c r="H7" s="31">
        <v>0</v>
      </c>
      <c r="I7" s="9">
        <f t="shared" ref="I7:I35" si="0">G7*0.9</f>
        <v>0</v>
      </c>
      <c r="O7" s="13" t="s">
        <v>54</v>
      </c>
      <c r="P7" s="14">
        <f>SUM(F36+G36)</f>
        <v>102</v>
      </c>
    </row>
    <row r="8" spans="1:16" x14ac:dyDescent="0.25">
      <c r="A8" s="6">
        <v>45538</v>
      </c>
      <c r="B8" s="5"/>
      <c r="C8" s="3">
        <v>0</v>
      </c>
      <c r="D8" s="7"/>
      <c r="E8" s="8">
        <v>0</v>
      </c>
      <c r="F8" s="28">
        <v>0</v>
      </c>
      <c r="G8" s="30">
        <v>0</v>
      </c>
      <c r="H8" s="31">
        <f t="shared" ref="H8:H35" si="1">F8*0.85</f>
        <v>0</v>
      </c>
      <c r="I8" s="9">
        <f t="shared" si="0"/>
        <v>0</v>
      </c>
      <c r="O8" s="20" t="s">
        <v>18</v>
      </c>
      <c r="P8" s="21">
        <f>SUM(P5+P4)</f>
        <v>360</v>
      </c>
    </row>
    <row r="9" spans="1:16" x14ac:dyDescent="0.25">
      <c r="A9" s="6">
        <v>45539</v>
      </c>
      <c r="B9" s="5"/>
      <c r="C9" s="3">
        <v>0</v>
      </c>
      <c r="D9" s="7"/>
      <c r="E9" s="8">
        <v>0</v>
      </c>
      <c r="F9" s="28">
        <v>0</v>
      </c>
      <c r="G9" s="30">
        <v>0</v>
      </c>
      <c r="H9" s="31">
        <f t="shared" si="1"/>
        <v>0</v>
      </c>
      <c r="I9" s="9">
        <f t="shared" si="0"/>
        <v>0</v>
      </c>
      <c r="O9" s="22" t="s">
        <v>21</v>
      </c>
      <c r="P9" s="33">
        <f>SUM(H6:H35)</f>
        <v>86.7</v>
      </c>
    </row>
    <row r="10" spans="1:16" x14ac:dyDescent="0.25">
      <c r="A10" s="6">
        <v>45540</v>
      </c>
      <c r="B10" s="5"/>
      <c r="C10" s="3">
        <v>0</v>
      </c>
      <c r="D10" s="7"/>
      <c r="E10" s="8">
        <v>0</v>
      </c>
      <c r="F10" s="28">
        <v>0</v>
      </c>
      <c r="G10" s="30">
        <v>0</v>
      </c>
      <c r="H10" s="31">
        <f t="shared" si="1"/>
        <v>0</v>
      </c>
      <c r="I10" s="9">
        <f t="shared" si="0"/>
        <v>0</v>
      </c>
      <c r="O10" s="23" t="s">
        <v>22</v>
      </c>
      <c r="P10" s="9">
        <f>SUM(I6:I35)</f>
        <v>0</v>
      </c>
    </row>
    <row r="11" spans="1:16" x14ac:dyDescent="0.25">
      <c r="A11" s="6">
        <v>45541</v>
      </c>
      <c r="B11" s="5"/>
      <c r="C11" s="3">
        <v>0</v>
      </c>
      <c r="D11" s="7"/>
      <c r="E11" s="8">
        <v>0</v>
      </c>
      <c r="F11" s="28">
        <v>0</v>
      </c>
      <c r="G11" s="30">
        <v>0</v>
      </c>
      <c r="H11" s="31">
        <f t="shared" si="1"/>
        <v>0</v>
      </c>
      <c r="I11" s="9">
        <f t="shared" si="0"/>
        <v>0</v>
      </c>
      <c r="O11" s="24" t="s">
        <v>24</v>
      </c>
      <c r="P11" s="34">
        <f>P9+P10</f>
        <v>86.7</v>
      </c>
    </row>
    <row r="12" spans="1:16" ht="19.5" customHeight="1" x14ac:dyDescent="0.25">
      <c r="A12" s="6">
        <v>45542</v>
      </c>
      <c r="B12" s="5"/>
      <c r="C12" s="3">
        <v>0</v>
      </c>
      <c r="D12" s="7"/>
      <c r="E12" s="8">
        <v>0</v>
      </c>
      <c r="F12" s="28">
        <v>0</v>
      </c>
      <c r="G12" s="30">
        <v>0</v>
      </c>
      <c r="H12" s="31">
        <f t="shared" si="1"/>
        <v>0</v>
      </c>
      <c r="I12" s="9">
        <f t="shared" si="0"/>
        <v>0</v>
      </c>
      <c r="O12" s="25" t="s">
        <v>67</v>
      </c>
      <c r="P12" s="26">
        <f>SUM(P8+P11)</f>
        <v>446.7</v>
      </c>
    </row>
    <row r="13" spans="1:16" x14ac:dyDescent="0.25">
      <c r="A13" s="6">
        <v>45543</v>
      </c>
      <c r="B13" s="5"/>
      <c r="C13" s="3">
        <v>0</v>
      </c>
      <c r="D13" s="7"/>
      <c r="E13" s="8">
        <v>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45544</v>
      </c>
      <c r="B14" s="5"/>
      <c r="C14" s="3">
        <v>0</v>
      </c>
      <c r="D14" s="7"/>
      <c r="E14" s="8">
        <v>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45545</v>
      </c>
      <c r="B15" s="5"/>
      <c r="C15" s="3">
        <v>0</v>
      </c>
      <c r="D15" s="7"/>
      <c r="E15" s="8">
        <v>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45546</v>
      </c>
      <c r="B16" s="5"/>
      <c r="C16" s="3">
        <v>0</v>
      </c>
      <c r="D16" s="7"/>
      <c r="E16" s="8">
        <v>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45547</v>
      </c>
      <c r="B17" s="5"/>
      <c r="C17" s="3">
        <v>0</v>
      </c>
      <c r="D17" s="7"/>
      <c r="E17" s="8">
        <v>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45548</v>
      </c>
      <c r="B18" s="5"/>
      <c r="C18" s="3">
        <v>0</v>
      </c>
      <c r="D18" s="7"/>
      <c r="E18" s="8">
        <v>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45549</v>
      </c>
      <c r="B19" s="5"/>
      <c r="C19" s="3">
        <v>0</v>
      </c>
      <c r="D19" s="7"/>
      <c r="E19" s="8">
        <v>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45550</v>
      </c>
      <c r="B20" s="5"/>
      <c r="C20" s="3">
        <v>0</v>
      </c>
      <c r="D20" s="7"/>
      <c r="E20" s="8">
        <v>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45551</v>
      </c>
      <c r="B21" s="5"/>
      <c r="C21" s="3">
        <v>0</v>
      </c>
      <c r="D21" s="7"/>
      <c r="E21" s="8">
        <v>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45552</v>
      </c>
      <c r="B22" s="5"/>
      <c r="C22" s="3">
        <v>0</v>
      </c>
      <c r="D22" s="7"/>
      <c r="E22" s="8">
        <v>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45553</v>
      </c>
      <c r="B23" s="5"/>
      <c r="C23" s="3">
        <v>0</v>
      </c>
      <c r="D23" s="7"/>
      <c r="E23" s="8">
        <v>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45554</v>
      </c>
      <c r="B24" s="5"/>
      <c r="C24" s="3">
        <v>0</v>
      </c>
      <c r="D24" s="7"/>
      <c r="E24" s="8">
        <v>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45555</v>
      </c>
      <c r="B25" s="5"/>
      <c r="C25" s="3">
        <v>0</v>
      </c>
      <c r="D25" s="7"/>
      <c r="E25" s="8">
        <v>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45556</v>
      </c>
      <c r="B26" s="5"/>
      <c r="C26" s="3">
        <v>0</v>
      </c>
      <c r="D26" s="7"/>
      <c r="E26" s="8">
        <v>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45557</v>
      </c>
      <c r="B27" s="5"/>
      <c r="C27" s="3">
        <v>0</v>
      </c>
      <c r="D27" s="7"/>
      <c r="E27" s="8">
        <v>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45558</v>
      </c>
      <c r="B28" s="5"/>
      <c r="C28" s="3">
        <v>0</v>
      </c>
      <c r="D28" s="7"/>
      <c r="E28" s="8">
        <v>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45559</v>
      </c>
      <c r="B29" s="5"/>
      <c r="C29" s="3">
        <v>0</v>
      </c>
      <c r="D29" s="7"/>
      <c r="E29" s="8">
        <v>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45560</v>
      </c>
      <c r="B30" s="5"/>
      <c r="C30" s="3">
        <v>0</v>
      </c>
      <c r="D30" s="7"/>
      <c r="E30" s="8">
        <v>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45561</v>
      </c>
      <c r="B31" s="5"/>
      <c r="C31" s="3">
        <v>0</v>
      </c>
      <c r="D31" s="7"/>
      <c r="E31" s="8">
        <v>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45562</v>
      </c>
      <c r="B32" s="5"/>
      <c r="C32" s="3">
        <v>0</v>
      </c>
      <c r="D32" s="7"/>
      <c r="E32" s="8">
        <v>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45563</v>
      </c>
      <c r="B33" s="5"/>
      <c r="C33" s="3">
        <v>0</v>
      </c>
      <c r="D33" s="7"/>
      <c r="E33" s="8">
        <v>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45564</v>
      </c>
      <c r="B34" s="5"/>
      <c r="C34" s="3">
        <v>0</v>
      </c>
      <c r="D34" s="7"/>
      <c r="E34" s="8">
        <v>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45565</v>
      </c>
      <c r="B35" s="5"/>
      <c r="C35" s="3">
        <v>0</v>
      </c>
      <c r="D35" s="7"/>
      <c r="E35" s="8">
        <v>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36"/>
      <c r="B36" s="36"/>
      <c r="C36" s="36"/>
      <c r="D36" s="36"/>
      <c r="E36" s="36"/>
      <c r="F36" s="37">
        <f>SUM(F6:F35)</f>
        <v>102</v>
      </c>
      <c r="G36" s="37">
        <f>SUM(G6:G35)</f>
        <v>0</v>
      </c>
      <c r="H36" s="36"/>
      <c r="I36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79998168889431442"/>
  </sheetPr>
  <dimension ref="A1:P37"/>
  <sheetViews>
    <sheetView topLeftCell="F1" workbookViewId="0">
      <selection activeCell="D36" sqref="D36"/>
    </sheetView>
  </sheetViews>
  <sheetFormatPr defaultRowHeight="15" x14ac:dyDescent="0.25"/>
  <cols>
    <col min="1" max="1" width="12" customWidth="1"/>
    <col min="2" max="2" width="47.42578125" customWidth="1"/>
    <col min="3" max="3" width="20.42578125" customWidth="1"/>
    <col min="4" max="4" width="23.42578125" customWidth="1"/>
    <col min="5" max="5" width="35.42578125" customWidth="1"/>
    <col min="6" max="6" width="33.5703125" customWidth="1"/>
    <col min="7" max="7" width="39.28515625" customWidth="1"/>
    <col min="8" max="8" width="35.28515625" customWidth="1"/>
    <col min="9" max="9" width="40" customWidth="1"/>
    <col min="15" max="15" width="44" customWidth="1"/>
    <col min="16" max="16" width="15.8554687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9.25" customHeight="1" x14ac:dyDescent="0.3">
      <c r="A4" s="81" t="s">
        <v>78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SUM(C6:C36)</f>
        <v>2100</v>
      </c>
    </row>
    <row r="5" spans="1:16" ht="19.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SUM(E6:E36)</f>
        <v>0</v>
      </c>
    </row>
    <row r="6" spans="1:16" ht="14.25" customHeight="1" x14ac:dyDescent="0.25">
      <c r="A6" s="6">
        <v>45566</v>
      </c>
      <c r="B6" s="5" t="s">
        <v>163</v>
      </c>
      <c r="C6" s="3">
        <v>0</v>
      </c>
      <c r="D6" s="7"/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45567</v>
      </c>
      <c r="B7" s="5" t="s">
        <v>163</v>
      </c>
      <c r="C7" s="3">
        <v>0</v>
      </c>
      <c r="D7" s="7"/>
      <c r="E7" s="8">
        <v>0</v>
      </c>
      <c r="F7" s="28">
        <v>0</v>
      </c>
      <c r="G7" s="30">
        <v>0</v>
      </c>
      <c r="H7" s="31">
        <v>0</v>
      </c>
      <c r="I7" s="9">
        <f t="shared" ref="I7:I36" si="0">G7*0.9</f>
        <v>0</v>
      </c>
      <c r="O7" s="13" t="s">
        <v>54</v>
      </c>
      <c r="P7" s="14">
        <f>SUM(F37+G37)</f>
        <v>486.1</v>
      </c>
    </row>
    <row r="8" spans="1:16" x14ac:dyDescent="0.25">
      <c r="A8" s="6">
        <v>45568</v>
      </c>
      <c r="B8" s="5" t="s">
        <v>163</v>
      </c>
      <c r="C8" s="3">
        <v>0</v>
      </c>
      <c r="D8" s="7"/>
      <c r="E8" s="8">
        <v>0</v>
      </c>
      <c r="F8" s="28">
        <v>0</v>
      </c>
      <c r="G8" s="30">
        <v>0</v>
      </c>
      <c r="H8" s="31">
        <f t="shared" ref="H8:H36" si="1">F8*0.85</f>
        <v>0</v>
      </c>
      <c r="I8" s="9">
        <f t="shared" si="0"/>
        <v>0</v>
      </c>
      <c r="O8" s="20" t="s">
        <v>18</v>
      </c>
      <c r="P8" s="21">
        <f>SUM(P5+P4)</f>
        <v>2100</v>
      </c>
    </row>
    <row r="9" spans="1:16" x14ac:dyDescent="0.25">
      <c r="A9" s="6">
        <v>45569</v>
      </c>
      <c r="B9" s="5" t="s">
        <v>163</v>
      </c>
      <c r="C9" s="3">
        <v>0</v>
      </c>
      <c r="D9" s="7"/>
      <c r="E9" s="8">
        <v>0</v>
      </c>
      <c r="F9" s="28">
        <v>0</v>
      </c>
      <c r="G9" s="30">
        <v>0</v>
      </c>
      <c r="H9" s="31">
        <f t="shared" si="1"/>
        <v>0</v>
      </c>
      <c r="I9" s="9">
        <f t="shared" si="0"/>
        <v>0</v>
      </c>
      <c r="O9" s="22" t="s">
        <v>21</v>
      </c>
      <c r="P9" s="33">
        <f>SUM(H6:H36)</f>
        <v>413.18499999999995</v>
      </c>
    </row>
    <row r="10" spans="1:16" x14ac:dyDescent="0.25">
      <c r="A10" s="6">
        <v>45570</v>
      </c>
      <c r="B10" s="5" t="s">
        <v>163</v>
      </c>
      <c r="C10" s="3">
        <v>0</v>
      </c>
      <c r="D10" s="7"/>
      <c r="E10" s="8">
        <v>0</v>
      </c>
      <c r="F10" s="28">
        <v>0</v>
      </c>
      <c r="G10" s="30">
        <v>0</v>
      </c>
      <c r="H10" s="31">
        <f t="shared" si="1"/>
        <v>0</v>
      </c>
      <c r="I10" s="9">
        <f t="shared" si="0"/>
        <v>0</v>
      </c>
      <c r="O10" s="23" t="s">
        <v>22</v>
      </c>
      <c r="P10" s="9">
        <f>SUM(I6:I36)</f>
        <v>0</v>
      </c>
    </row>
    <row r="11" spans="1:16" x14ac:dyDescent="0.25">
      <c r="A11" s="6">
        <v>45571</v>
      </c>
      <c r="B11" s="5" t="s">
        <v>163</v>
      </c>
      <c r="C11" s="3">
        <v>0</v>
      </c>
      <c r="D11" s="7"/>
      <c r="E11" s="8">
        <v>0</v>
      </c>
      <c r="F11" s="28">
        <v>0</v>
      </c>
      <c r="G11" s="30">
        <v>0</v>
      </c>
      <c r="H11" s="31">
        <f t="shared" si="1"/>
        <v>0</v>
      </c>
      <c r="I11" s="9">
        <f t="shared" si="0"/>
        <v>0</v>
      </c>
      <c r="O11" s="24" t="s">
        <v>24</v>
      </c>
      <c r="P11" s="34">
        <f>P9+P10</f>
        <v>413.18499999999995</v>
      </c>
    </row>
    <row r="12" spans="1:16" ht="15" customHeight="1" x14ac:dyDescent="0.25">
      <c r="A12" s="6">
        <v>45572</v>
      </c>
      <c r="B12" s="5" t="s">
        <v>163</v>
      </c>
      <c r="C12" s="3">
        <v>0</v>
      </c>
      <c r="D12" s="7"/>
      <c r="E12" s="8">
        <v>0</v>
      </c>
      <c r="F12" s="28">
        <v>0</v>
      </c>
      <c r="G12" s="30">
        <v>0</v>
      </c>
      <c r="H12" s="31">
        <f t="shared" si="1"/>
        <v>0</v>
      </c>
      <c r="I12" s="9">
        <f t="shared" si="0"/>
        <v>0</v>
      </c>
      <c r="O12" s="25" t="s">
        <v>67</v>
      </c>
      <c r="P12" s="26">
        <f>SUM(P8+P11)</f>
        <v>2513.1849999999999</v>
      </c>
    </row>
    <row r="13" spans="1:16" x14ac:dyDescent="0.25">
      <c r="A13" s="6">
        <v>45573</v>
      </c>
      <c r="B13" s="5" t="s">
        <v>163</v>
      </c>
      <c r="C13" s="3">
        <v>0</v>
      </c>
      <c r="D13" s="7"/>
      <c r="E13" s="8">
        <v>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45574</v>
      </c>
      <c r="B14" s="5" t="s">
        <v>163</v>
      </c>
      <c r="C14" s="3">
        <v>0</v>
      </c>
      <c r="D14" s="7"/>
      <c r="E14" s="8">
        <v>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45575</v>
      </c>
      <c r="B15" s="5" t="s">
        <v>163</v>
      </c>
      <c r="C15" s="3">
        <v>0</v>
      </c>
      <c r="D15" s="7"/>
      <c r="E15" s="8">
        <v>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45576</v>
      </c>
      <c r="B16" s="5" t="s">
        <v>163</v>
      </c>
      <c r="C16" s="3">
        <v>0</v>
      </c>
      <c r="D16" s="7"/>
      <c r="E16" s="8">
        <v>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45577</v>
      </c>
      <c r="B17" s="5" t="s">
        <v>163</v>
      </c>
      <c r="C17" s="3">
        <v>0</v>
      </c>
      <c r="D17" s="7"/>
      <c r="E17" s="8">
        <v>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45578</v>
      </c>
      <c r="B18" s="5" t="s">
        <v>163</v>
      </c>
      <c r="C18" s="3">
        <v>0</v>
      </c>
      <c r="D18" s="7"/>
      <c r="E18" s="8">
        <v>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45579</v>
      </c>
      <c r="B19" s="5" t="s">
        <v>163</v>
      </c>
      <c r="C19" s="3">
        <v>0</v>
      </c>
      <c r="D19" s="7"/>
      <c r="E19" s="8">
        <v>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45580</v>
      </c>
      <c r="B20" s="5" t="s">
        <v>163</v>
      </c>
      <c r="C20" s="3">
        <v>0</v>
      </c>
      <c r="D20" s="7"/>
      <c r="E20" s="8">
        <v>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45581</v>
      </c>
      <c r="B21" s="5" t="s">
        <v>163</v>
      </c>
      <c r="C21" s="3">
        <v>0</v>
      </c>
      <c r="D21" s="7"/>
      <c r="E21" s="8">
        <v>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45582</v>
      </c>
      <c r="B22" s="5" t="s">
        <v>163</v>
      </c>
      <c r="C22" s="3">
        <v>0</v>
      </c>
      <c r="D22" s="7"/>
      <c r="E22" s="8">
        <v>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45583</v>
      </c>
      <c r="B23" s="5" t="s">
        <v>164</v>
      </c>
      <c r="C23" s="3">
        <v>220</v>
      </c>
      <c r="D23" s="7"/>
      <c r="E23" s="8">
        <v>0</v>
      </c>
      <c r="F23" s="28">
        <v>101</v>
      </c>
      <c r="G23" s="30">
        <v>0</v>
      </c>
      <c r="H23" s="31">
        <f t="shared" si="1"/>
        <v>85.85</v>
      </c>
      <c r="I23" s="9">
        <f t="shared" si="0"/>
        <v>0</v>
      </c>
    </row>
    <row r="24" spans="1:9" x14ac:dyDescent="0.25">
      <c r="A24" s="6">
        <v>45584</v>
      </c>
      <c r="B24" s="5" t="s">
        <v>81</v>
      </c>
      <c r="C24" s="3">
        <v>200</v>
      </c>
      <c r="D24" s="7" t="s">
        <v>167</v>
      </c>
      <c r="E24" s="8">
        <v>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45585</v>
      </c>
      <c r="B25" s="5" t="s">
        <v>163</v>
      </c>
      <c r="C25" s="3">
        <v>0</v>
      </c>
      <c r="D25" s="7"/>
      <c r="E25" s="8">
        <v>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45586</v>
      </c>
      <c r="B26" s="5" t="s">
        <v>165</v>
      </c>
      <c r="C26" s="3">
        <v>170</v>
      </c>
      <c r="D26" s="7" t="s">
        <v>167</v>
      </c>
      <c r="E26" s="8">
        <v>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45587</v>
      </c>
      <c r="B27" s="5" t="s">
        <v>166</v>
      </c>
      <c r="C27" s="3">
        <v>120</v>
      </c>
      <c r="D27" s="7"/>
      <c r="E27" s="8">
        <v>0</v>
      </c>
      <c r="F27" s="28">
        <v>183</v>
      </c>
      <c r="G27" s="30">
        <v>0</v>
      </c>
      <c r="H27" s="31">
        <f t="shared" si="1"/>
        <v>155.54999999999998</v>
      </c>
      <c r="I27" s="9">
        <f t="shared" si="0"/>
        <v>0</v>
      </c>
    </row>
    <row r="28" spans="1:9" x14ac:dyDescent="0.25">
      <c r="A28" s="6">
        <v>45588</v>
      </c>
      <c r="B28" s="5" t="s">
        <v>168</v>
      </c>
      <c r="C28" s="3">
        <v>190</v>
      </c>
      <c r="D28" s="7" t="s">
        <v>167</v>
      </c>
      <c r="E28" s="8">
        <v>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45589</v>
      </c>
      <c r="B29" s="5" t="s">
        <v>169</v>
      </c>
      <c r="C29" s="3">
        <v>270</v>
      </c>
      <c r="D29" s="7" t="s">
        <v>167</v>
      </c>
      <c r="E29" s="8">
        <v>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45590</v>
      </c>
      <c r="B30" s="5" t="s">
        <v>170</v>
      </c>
      <c r="C30" s="3">
        <v>70</v>
      </c>
      <c r="D30" s="7"/>
      <c r="E30" s="8">
        <v>0</v>
      </c>
      <c r="F30" s="28">
        <v>100.1</v>
      </c>
      <c r="G30" s="30">
        <v>0</v>
      </c>
      <c r="H30" s="31">
        <f t="shared" si="1"/>
        <v>85.084999999999994</v>
      </c>
      <c r="I30" s="9">
        <f t="shared" si="0"/>
        <v>0</v>
      </c>
    </row>
    <row r="31" spans="1:9" x14ac:dyDescent="0.25">
      <c r="A31" s="6">
        <v>45591</v>
      </c>
      <c r="B31" s="5" t="s">
        <v>171</v>
      </c>
      <c r="C31" s="3">
        <v>120</v>
      </c>
      <c r="D31" s="7" t="s">
        <v>167</v>
      </c>
      <c r="E31" s="8">
        <v>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45592</v>
      </c>
      <c r="B32" s="5" t="s">
        <v>163</v>
      </c>
      <c r="C32" s="3">
        <v>0</v>
      </c>
      <c r="D32" s="7"/>
      <c r="E32" s="8">
        <v>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45593</v>
      </c>
      <c r="B33" s="5" t="s">
        <v>61</v>
      </c>
      <c r="C33" s="3">
        <v>120</v>
      </c>
      <c r="D33" s="7" t="s">
        <v>167</v>
      </c>
      <c r="E33" s="8">
        <v>0</v>
      </c>
      <c r="F33" s="28">
        <v>102</v>
      </c>
      <c r="G33" s="30">
        <v>0</v>
      </c>
      <c r="H33" s="31">
        <f t="shared" si="1"/>
        <v>86.7</v>
      </c>
      <c r="I33" s="9">
        <f t="shared" si="0"/>
        <v>0</v>
      </c>
    </row>
    <row r="34" spans="1:9" x14ac:dyDescent="0.25">
      <c r="A34" s="6">
        <v>45594</v>
      </c>
      <c r="B34" s="5" t="s">
        <v>172</v>
      </c>
      <c r="C34" s="3">
        <v>170</v>
      </c>
      <c r="D34" s="7" t="s">
        <v>167</v>
      </c>
      <c r="E34" s="8">
        <v>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45595</v>
      </c>
      <c r="B35" s="5" t="s">
        <v>173</v>
      </c>
      <c r="C35" s="3">
        <v>140</v>
      </c>
      <c r="D35" s="7" t="s">
        <v>167</v>
      </c>
      <c r="E35" s="8">
        <v>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6">
        <v>45596</v>
      </c>
      <c r="B36" s="5" t="s">
        <v>174</v>
      </c>
      <c r="C36" s="3">
        <v>310</v>
      </c>
      <c r="D36" s="7" t="s">
        <v>167</v>
      </c>
      <c r="E36" s="8">
        <v>0</v>
      </c>
      <c r="F36" s="28">
        <v>0</v>
      </c>
      <c r="G36" s="30">
        <v>0</v>
      </c>
      <c r="H36" s="31">
        <f t="shared" si="1"/>
        <v>0</v>
      </c>
      <c r="I36" s="9">
        <f t="shared" si="0"/>
        <v>0</v>
      </c>
    </row>
    <row r="37" spans="1:9" x14ac:dyDescent="0.25">
      <c r="A37" s="36"/>
      <c r="B37" s="36"/>
      <c r="C37" s="36"/>
      <c r="D37" s="36"/>
      <c r="E37" s="36"/>
      <c r="F37" s="37">
        <f>SUM(F6:F36)</f>
        <v>486.1</v>
      </c>
      <c r="G37" s="37">
        <f>SUM(G6:G36)</f>
        <v>0</v>
      </c>
      <c r="H37" s="36"/>
      <c r="I37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499984740745262"/>
  </sheetPr>
  <dimension ref="A1:P36"/>
  <sheetViews>
    <sheetView workbookViewId="0">
      <selection sqref="A1:P36"/>
    </sheetView>
  </sheetViews>
  <sheetFormatPr defaultRowHeight="15" x14ac:dyDescent="0.25"/>
  <cols>
    <col min="1" max="1" width="12.140625" customWidth="1"/>
    <col min="2" max="2" width="36.7109375" customWidth="1"/>
    <col min="3" max="3" width="13.7109375" customWidth="1"/>
    <col min="4" max="4" width="20.140625" customWidth="1"/>
    <col min="5" max="5" width="22.85546875" customWidth="1"/>
    <col min="6" max="6" width="25.7109375" customWidth="1"/>
    <col min="7" max="7" width="25.28515625" customWidth="1"/>
    <col min="8" max="8" width="35.28515625" customWidth="1"/>
    <col min="9" max="9" width="36.42578125" customWidth="1"/>
    <col min="15" max="15" width="42.42578125" customWidth="1"/>
    <col min="16" max="16" width="24.425781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3.25" customHeight="1" x14ac:dyDescent="0.3">
      <c r="A4" s="81" t="s">
        <v>80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SUM(C6:C35)</f>
        <v>2680</v>
      </c>
    </row>
    <row r="5" spans="1:16" ht="17.2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SUM(E6:E35)</f>
        <v>240</v>
      </c>
    </row>
    <row r="6" spans="1:16" ht="15" customHeight="1" x14ac:dyDescent="0.25">
      <c r="A6" s="6">
        <v>45597</v>
      </c>
      <c r="B6" s="5" t="s">
        <v>175</v>
      </c>
      <c r="C6" s="3">
        <v>170</v>
      </c>
      <c r="D6" s="7" t="s">
        <v>132</v>
      </c>
      <c r="E6" s="8">
        <v>0</v>
      </c>
      <c r="F6" s="28">
        <v>104.1</v>
      </c>
      <c r="G6" s="30">
        <v>0</v>
      </c>
      <c r="H6" s="31">
        <f>F6*0.85</f>
        <v>88.484999999999999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45598</v>
      </c>
      <c r="B7" s="5" t="s">
        <v>148</v>
      </c>
      <c r="C7" s="3">
        <v>100</v>
      </c>
      <c r="D7" s="7" t="s">
        <v>176</v>
      </c>
      <c r="E7" s="8">
        <v>0</v>
      </c>
      <c r="F7" s="28">
        <v>0</v>
      </c>
      <c r="G7" s="30">
        <v>0</v>
      </c>
      <c r="H7" s="31">
        <v>0</v>
      </c>
      <c r="I7" s="9">
        <f t="shared" ref="I7:I35" si="0">G7*0.9</f>
        <v>0</v>
      </c>
      <c r="O7" s="13" t="s">
        <v>54</v>
      </c>
      <c r="P7" s="14">
        <f>SUM(F36+G36)</f>
        <v>523.5</v>
      </c>
    </row>
    <row r="8" spans="1:16" x14ac:dyDescent="0.25">
      <c r="A8" s="6">
        <v>45599</v>
      </c>
      <c r="B8" s="5" t="s">
        <v>163</v>
      </c>
      <c r="C8" s="3">
        <v>0</v>
      </c>
      <c r="D8" s="7"/>
      <c r="E8" s="8">
        <v>0</v>
      </c>
      <c r="F8" s="28">
        <v>0</v>
      </c>
      <c r="G8" s="30">
        <v>0</v>
      </c>
      <c r="H8" s="31">
        <f t="shared" ref="H8:H35" si="1">F8*0.85</f>
        <v>0</v>
      </c>
      <c r="I8" s="9">
        <f t="shared" si="0"/>
        <v>0</v>
      </c>
      <c r="O8" s="20" t="s">
        <v>18</v>
      </c>
      <c r="P8" s="21">
        <f>SUM(P5+P4)</f>
        <v>2920</v>
      </c>
    </row>
    <row r="9" spans="1:16" x14ac:dyDescent="0.25">
      <c r="A9" s="6">
        <v>45600</v>
      </c>
      <c r="B9" s="5" t="s">
        <v>177</v>
      </c>
      <c r="C9" s="3">
        <v>170</v>
      </c>
      <c r="D9" s="7" t="s">
        <v>180</v>
      </c>
      <c r="E9" s="8">
        <v>20</v>
      </c>
      <c r="F9" s="28">
        <v>0</v>
      </c>
      <c r="G9" s="30">
        <v>0</v>
      </c>
      <c r="H9" s="31">
        <f t="shared" si="1"/>
        <v>0</v>
      </c>
      <c r="I9" s="9">
        <f t="shared" si="0"/>
        <v>0</v>
      </c>
      <c r="O9" s="22" t="s">
        <v>21</v>
      </c>
      <c r="P9" s="33">
        <f>SUM(H6:H35)</f>
        <v>444.97499999999997</v>
      </c>
    </row>
    <row r="10" spans="1:16" x14ac:dyDescent="0.25">
      <c r="A10" s="6">
        <v>45601</v>
      </c>
      <c r="B10" s="5" t="s">
        <v>178</v>
      </c>
      <c r="C10" s="3">
        <v>140</v>
      </c>
      <c r="D10" s="7" t="s">
        <v>179</v>
      </c>
      <c r="E10" s="8">
        <v>20</v>
      </c>
      <c r="F10" s="28">
        <v>0</v>
      </c>
      <c r="G10" s="30">
        <v>0</v>
      </c>
      <c r="H10" s="31">
        <f t="shared" si="1"/>
        <v>0</v>
      </c>
      <c r="I10" s="9">
        <f t="shared" si="0"/>
        <v>0</v>
      </c>
      <c r="O10" s="23" t="s">
        <v>22</v>
      </c>
      <c r="P10" s="9">
        <f>SUM(I6:I35)</f>
        <v>0</v>
      </c>
    </row>
    <row r="11" spans="1:16" x14ac:dyDescent="0.25">
      <c r="A11" s="6">
        <v>45602</v>
      </c>
      <c r="B11" s="5" t="s">
        <v>116</v>
      </c>
      <c r="C11" s="3">
        <v>100</v>
      </c>
      <c r="D11" s="7" t="s">
        <v>180</v>
      </c>
      <c r="E11" s="8">
        <v>20</v>
      </c>
      <c r="F11" s="28">
        <v>0</v>
      </c>
      <c r="G11" s="30">
        <v>0</v>
      </c>
      <c r="H11" s="31">
        <f t="shared" si="1"/>
        <v>0</v>
      </c>
      <c r="I11" s="9">
        <f t="shared" si="0"/>
        <v>0</v>
      </c>
      <c r="O11" s="24" t="s">
        <v>24</v>
      </c>
      <c r="P11" s="34">
        <f>P9+P10</f>
        <v>444.97499999999997</v>
      </c>
    </row>
    <row r="12" spans="1:16" ht="13.5" customHeight="1" x14ac:dyDescent="0.25">
      <c r="A12" s="6">
        <v>45603</v>
      </c>
      <c r="B12" s="5" t="s">
        <v>181</v>
      </c>
      <c r="C12" s="3">
        <v>240</v>
      </c>
      <c r="D12" s="7" t="s">
        <v>180</v>
      </c>
      <c r="E12" s="8">
        <v>20</v>
      </c>
      <c r="F12" s="28">
        <v>0</v>
      </c>
      <c r="G12" s="30">
        <v>0</v>
      </c>
      <c r="H12" s="31">
        <f t="shared" si="1"/>
        <v>0</v>
      </c>
      <c r="I12" s="9">
        <f t="shared" si="0"/>
        <v>0</v>
      </c>
      <c r="O12" s="25" t="s">
        <v>67</v>
      </c>
      <c r="P12" s="26">
        <f>SUM(P8+P11)</f>
        <v>3364.9749999999999</v>
      </c>
    </row>
    <row r="13" spans="1:16" x14ac:dyDescent="0.25">
      <c r="A13" s="6">
        <v>45604</v>
      </c>
      <c r="B13" s="5" t="s">
        <v>163</v>
      </c>
      <c r="C13" s="3">
        <v>0</v>
      </c>
      <c r="D13" s="7"/>
      <c r="E13" s="8">
        <v>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45605</v>
      </c>
      <c r="B14" s="5" t="s">
        <v>182</v>
      </c>
      <c r="C14" s="3">
        <v>70</v>
      </c>
      <c r="D14" s="7"/>
      <c r="E14" s="8">
        <v>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45606</v>
      </c>
      <c r="B15" s="5" t="s">
        <v>163</v>
      </c>
      <c r="C15" s="3">
        <v>0</v>
      </c>
      <c r="D15" s="7"/>
      <c r="E15" s="8">
        <v>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45607</v>
      </c>
      <c r="B16" s="5" t="s">
        <v>183</v>
      </c>
      <c r="C16" s="3">
        <v>200</v>
      </c>
      <c r="D16" s="7" t="s">
        <v>180</v>
      </c>
      <c r="E16" s="8">
        <v>20</v>
      </c>
      <c r="F16" s="28">
        <v>75.5</v>
      </c>
      <c r="G16" s="30">
        <v>0</v>
      </c>
      <c r="H16" s="31">
        <f t="shared" si="1"/>
        <v>64.174999999999997</v>
      </c>
      <c r="I16" s="9">
        <f t="shared" si="0"/>
        <v>0</v>
      </c>
    </row>
    <row r="17" spans="1:9" x14ac:dyDescent="0.25">
      <c r="A17" s="6">
        <v>45608</v>
      </c>
      <c r="B17" s="5" t="s">
        <v>184</v>
      </c>
      <c r="C17" s="3">
        <v>190</v>
      </c>
      <c r="D17" s="7" t="s">
        <v>180</v>
      </c>
      <c r="E17" s="8">
        <v>20</v>
      </c>
      <c r="F17" s="28">
        <v>139.9</v>
      </c>
      <c r="G17" s="30">
        <v>0</v>
      </c>
      <c r="H17" s="31">
        <f t="shared" si="1"/>
        <v>118.91500000000001</v>
      </c>
      <c r="I17" s="9">
        <f t="shared" si="0"/>
        <v>0</v>
      </c>
    </row>
    <row r="18" spans="1:9" x14ac:dyDescent="0.25">
      <c r="A18" s="6">
        <v>45609</v>
      </c>
      <c r="B18" s="5" t="s">
        <v>163</v>
      </c>
      <c r="C18" s="3">
        <v>0</v>
      </c>
      <c r="D18" s="7"/>
      <c r="E18" s="8">
        <v>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45610</v>
      </c>
      <c r="B19" s="5" t="s">
        <v>163</v>
      </c>
      <c r="C19" s="3">
        <v>0</v>
      </c>
      <c r="D19" s="7"/>
      <c r="E19" s="8">
        <v>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45611</v>
      </c>
      <c r="B20" s="5" t="s">
        <v>163</v>
      </c>
      <c r="C20" s="3">
        <v>0</v>
      </c>
      <c r="D20" s="7"/>
      <c r="E20" s="8">
        <v>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45612</v>
      </c>
      <c r="B21" s="5" t="s">
        <v>116</v>
      </c>
      <c r="C21" s="3">
        <v>100</v>
      </c>
      <c r="D21" s="7" t="s">
        <v>132</v>
      </c>
      <c r="E21" s="8">
        <v>0</v>
      </c>
      <c r="F21" s="28">
        <v>74</v>
      </c>
      <c r="G21" s="30">
        <v>0</v>
      </c>
      <c r="H21" s="31">
        <f t="shared" si="1"/>
        <v>62.9</v>
      </c>
      <c r="I21" s="9">
        <f t="shared" si="0"/>
        <v>0</v>
      </c>
    </row>
    <row r="22" spans="1:9" x14ac:dyDescent="0.25">
      <c r="A22" s="6">
        <v>45613</v>
      </c>
      <c r="B22" s="5" t="s">
        <v>163</v>
      </c>
      <c r="C22" s="3">
        <v>0</v>
      </c>
      <c r="D22" s="7"/>
      <c r="E22" s="8">
        <v>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45614</v>
      </c>
      <c r="B23" s="5" t="s">
        <v>185</v>
      </c>
      <c r="C23" s="3">
        <v>170</v>
      </c>
      <c r="D23" s="7" t="s">
        <v>112</v>
      </c>
      <c r="E23" s="8">
        <v>20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45615</v>
      </c>
      <c r="B24" s="5" t="s">
        <v>188</v>
      </c>
      <c r="C24" s="3">
        <v>100</v>
      </c>
      <c r="D24" s="7" t="s">
        <v>112</v>
      </c>
      <c r="E24" s="8">
        <v>20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45616</v>
      </c>
      <c r="B25" s="5" t="s">
        <v>163</v>
      </c>
      <c r="C25" s="3">
        <v>0</v>
      </c>
      <c r="D25" s="7"/>
      <c r="E25" s="8">
        <v>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45617</v>
      </c>
      <c r="B26" s="5" t="s">
        <v>163</v>
      </c>
      <c r="C26" s="3">
        <v>0</v>
      </c>
      <c r="D26" s="7"/>
      <c r="E26" s="8">
        <v>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45618</v>
      </c>
      <c r="B27" s="5" t="s">
        <v>186</v>
      </c>
      <c r="C27" s="3">
        <v>100</v>
      </c>
      <c r="D27" s="7" t="s">
        <v>112</v>
      </c>
      <c r="E27" s="8">
        <v>20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45619</v>
      </c>
      <c r="B28" s="5" t="s">
        <v>148</v>
      </c>
      <c r="C28" s="3">
        <v>100</v>
      </c>
      <c r="D28" s="7" t="s">
        <v>112</v>
      </c>
      <c r="E28" s="8">
        <v>20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45620</v>
      </c>
      <c r="B29" s="5" t="s">
        <v>163</v>
      </c>
      <c r="C29" s="3">
        <v>0</v>
      </c>
      <c r="D29" s="7"/>
      <c r="E29" s="8">
        <v>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45621</v>
      </c>
      <c r="B30" s="5" t="s">
        <v>163</v>
      </c>
      <c r="C30" s="3">
        <v>0</v>
      </c>
      <c r="D30" s="7"/>
      <c r="E30" s="8">
        <v>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45622</v>
      </c>
      <c r="B31" s="5" t="s">
        <v>187</v>
      </c>
      <c r="C31" s="3">
        <v>200</v>
      </c>
      <c r="D31" s="7" t="s">
        <v>112</v>
      </c>
      <c r="E31" s="8">
        <v>20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45623</v>
      </c>
      <c r="B32" s="5" t="s">
        <v>148</v>
      </c>
      <c r="C32" s="3">
        <v>100</v>
      </c>
      <c r="D32" s="7" t="s">
        <v>112</v>
      </c>
      <c r="E32" s="8">
        <v>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45624</v>
      </c>
      <c r="B33" s="5" t="s">
        <v>163</v>
      </c>
      <c r="C33" s="3">
        <v>0</v>
      </c>
      <c r="D33" s="7"/>
      <c r="E33" s="8">
        <v>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45625</v>
      </c>
      <c r="B34" s="5" t="s">
        <v>189</v>
      </c>
      <c r="C34" s="3">
        <v>220</v>
      </c>
      <c r="D34" s="7" t="s">
        <v>112</v>
      </c>
      <c r="E34" s="8">
        <v>20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45626</v>
      </c>
      <c r="B35" s="5" t="s">
        <v>190</v>
      </c>
      <c r="C35" s="3">
        <v>210</v>
      </c>
      <c r="D35" s="7"/>
      <c r="E35" s="8">
        <v>0</v>
      </c>
      <c r="F35" s="28">
        <v>130</v>
      </c>
      <c r="G35" s="30">
        <v>0</v>
      </c>
      <c r="H35" s="31">
        <f t="shared" si="1"/>
        <v>110.5</v>
      </c>
      <c r="I35" s="9">
        <f t="shared" si="0"/>
        <v>0</v>
      </c>
    </row>
    <row r="36" spans="1:9" x14ac:dyDescent="0.25">
      <c r="A36" s="36"/>
      <c r="B36" s="36"/>
      <c r="C36" s="36"/>
      <c r="D36" s="36"/>
      <c r="E36" s="36"/>
      <c r="F36" s="37">
        <f>SUM(F6:F35)</f>
        <v>523.5</v>
      </c>
      <c r="G36" s="37">
        <f>SUM(G6:G35)</f>
        <v>0</v>
      </c>
      <c r="H36" s="36"/>
      <c r="I36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-0.249977111117893"/>
  </sheetPr>
  <dimension ref="A1:P37"/>
  <sheetViews>
    <sheetView topLeftCell="E1" workbookViewId="0">
      <selection sqref="A1:P37"/>
    </sheetView>
  </sheetViews>
  <sheetFormatPr defaultRowHeight="15" x14ac:dyDescent="0.25"/>
  <cols>
    <col min="1" max="1" width="14.28515625" customWidth="1"/>
    <col min="2" max="2" width="39" customWidth="1"/>
    <col min="3" max="3" width="11.85546875" customWidth="1"/>
    <col min="4" max="4" width="13.140625" customWidth="1"/>
    <col min="5" max="5" width="23.42578125" customWidth="1"/>
    <col min="6" max="6" width="27.7109375" customWidth="1"/>
    <col min="7" max="7" width="26.42578125" customWidth="1"/>
    <col min="8" max="8" width="35.140625" customWidth="1"/>
    <col min="9" max="9" width="36" customWidth="1"/>
    <col min="15" max="15" width="44" customWidth="1"/>
    <col min="16" max="16" width="19.8554687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0.25" customHeight="1" x14ac:dyDescent="0.3">
      <c r="A4" s="81" t="s">
        <v>79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SUM(C6:C36)</f>
        <v>2940</v>
      </c>
    </row>
    <row r="5" spans="1:16" ht="21.7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SUM(E6:E36)</f>
        <v>240</v>
      </c>
    </row>
    <row r="6" spans="1:16" ht="18.75" customHeight="1" x14ac:dyDescent="0.25">
      <c r="A6" s="6">
        <v>45627</v>
      </c>
      <c r="B6" s="5" t="s">
        <v>192</v>
      </c>
      <c r="C6" s="3">
        <v>0</v>
      </c>
      <c r="D6" s="7"/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45628</v>
      </c>
      <c r="B7" s="5" t="s">
        <v>193</v>
      </c>
      <c r="C7" s="3">
        <v>0</v>
      </c>
      <c r="D7" s="7"/>
      <c r="E7" s="8">
        <v>0</v>
      </c>
      <c r="F7" s="28">
        <v>0</v>
      </c>
      <c r="G7" s="30">
        <v>0</v>
      </c>
      <c r="H7" s="31">
        <f>F7*0.85</f>
        <v>0</v>
      </c>
      <c r="I7" s="9">
        <f t="shared" ref="I7:I36" si="0">G7*0.9</f>
        <v>0</v>
      </c>
      <c r="O7" s="13" t="s">
        <v>54</v>
      </c>
      <c r="P7" s="14">
        <f>SUM(F37+G37)</f>
        <v>566.5</v>
      </c>
    </row>
    <row r="8" spans="1:16" x14ac:dyDescent="0.25">
      <c r="A8" s="6">
        <v>45629</v>
      </c>
      <c r="B8" s="5" t="s">
        <v>194</v>
      </c>
      <c r="C8" s="3">
        <v>0</v>
      </c>
      <c r="D8" s="7"/>
      <c r="E8" s="8">
        <v>0</v>
      </c>
      <c r="F8" s="28">
        <v>0</v>
      </c>
      <c r="G8" s="30">
        <v>0</v>
      </c>
      <c r="H8" s="31">
        <f>F8*0.85</f>
        <v>0</v>
      </c>
      <c r="I8" s="9">
        <f t="shared" si="0"/>
        <v>0</v>
      </c>
      <c r="O8" s="20" t="s">
        <v>18</v>
      </c>
      <c r="P8" s="21">
        <f>SUM(P5+P4)</f>
        <v>3180</v>
      </c>
    </row>
    <row r="9" spans="1:16" x14ac:dyDescent="0.25">
      <c r="A9" s="6">
        <v>45630</v>
      </c>
      <c r="B9" s="5" t="s">
        <v>195</v>
      </c>
      <c r="C9" s="3">
        <v>0</v>
      </c>
      <c r="D9" s="7"/>
      <c r="E9" s="8">
        <v>0</v>
      </c>
      <c r="F9" s="28">
        <v>0</v>
      </c>
      <c r="G9" s="30">
        <v>0</v>
      </c>
      <c r="H9" s="31">
        <f>F9*0.85</f>
        <v>0</v>
      </c>
      <c r="I9" s="9">
        <f t="shared" si="0"/>
        <v>0</v>
      </c>
      <c r="O9" s="22" t="s">
        <v>21</v>
      </c>
      <c r="P9" s="33">
        <f>SUM(H6:H36)</f>
        <v>481.52499999999998</v>
      </c>
    </row>
    <row r="10" spans="1:16" x14ac:dyDescent="0.25">
      <c r="A10" s="6">
        <v>45631</v>
      </c>
      <c r="B10" s="5" t="s">
        <v>196</v>
      </c>
      <c r="C10" s="3">
        <v>0</v>
      </c>
      <c r="D10" s="7"/>
      <c r="E10" s="8">
        <v>0</v>
      </c>
      <c r="F10" s="28">
        <v>0</v>
      </c>
      <c r="G10" s="30">
        <v>0</v>
      </c>
      <c r="H10" s="31">
        <f>F10*0.85</f>
        <v>0</v>
      </c>
      <c r="I10" s="9">
        <f t="shared" si="0"/>
        <v>0</v>
      </c>
      <c r="O10" s="23" t="s">
        <v>22</v>
      </c>
      <c r="P10" s="9">
        <f>SUM(I6:I36)</f>
        <v>0</v>
      </c>
    </row>
    <row r="11" spans="1:16" x14ac:dyDescent="0.25">
      <c r="A11" s="6">
        <v>45632</v>
      </c>
      <c r="B11" s="5" t="s">
        <v>191</v>
      </c>
      <c r="C11" s="3">
        <v>100</v>
      </c>
      <c r="D11" s="7" t="s">
        <v>112</v>
      </c>
      <c r="E11" s="8">
        <v>20</v>
      </c>
      <c r="F11" s="28">
        <v>0</v>
      </c>
      <c r="G11" s="30">
        <v>0</v>
      </c>
      <c r="H11" s="31">
        <f t="shared" ref="H11:H36" si="1">F11*0.85</f>
        <v>0</v>
      </c>
      <c r="I11" s="9">
        <f t="shared" si="0"/>
        <v>0</v>
      </c>
      <c r="O11" s="24" t="s">
        <v>24</v>
      </c>
      <c r="P11" s="34">
        <f>P9+P10</f>
        <v>481.52499999999998</v>
      </c>
    </row>
    <row r="12" spans="1:16" ht="18" customHeight="1" x14ac:dyDescent="0.25">
      <c r="A12" s="6">
        <v>45633</v>
      </c>
      <c r="B12" s="5" t="s">
        <v>197</v>
      </c>
      <c r="C12" s="3">
        <v>0</v>
      </c>
      <c r="D12" s="7"/>
      <c r="E12" s="8">
        <v>0</v>
      </c>
      <c r="F12" s="28">
        <v>0</v>
      </c>
      <c r="G12" s="30">
        <v>0</v>
      </c>
      <c r="H12" s="31">
        <f t="shared" si="1"/>
        <v>0</v>
      </c>
      <c r="I12" s="9">
        <f t="shared" si="0"/>
        <v>0</v>
      </c>
      <c r="O12" s="25" t="s">
        <v>67</v>
      </c>
      <c r="P12" s="26">
        <f>SUM(P8+P11)</f>
        <v>3661.5250000000001</v>
      </c>
    </row>
    <row r="13" spans="1:16" x14ac:dyDescent="0.25">
      <c r="A13" s="6">
        <v>45634</v>
      </c>
      <c r="B13" s="5" t="s">
        <v>197</v>
      </c>
      <c r="C13" s="3">
        <v>0</v>
      </c>
      <c r="D13" s="7"/>
      <c r="E13" s="8">
        <v>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45635</v>
      </c>
      <c r="B14" s="5" t="s">
        <v>198</v>
      </c>
      <c r="C14" s="3">
        <v>200</v>
      </c>
      <c r="D14" s="7" t="s">
        <v>112</v>
      </c>
      <c r="E14" s="8">
        <v>20</v>
      </c>
      <c r="F14" s="28">
        <v>82</v>
      </c>
      <c r="G14" s="30">
        <v>0</v>
      </c>
      <c r="H14" s="31">
        <f t="shared" si="1"/>
        <v>69.7</v>
      </c>
      <c r="I14" s="9">
        <f t="shared" si="0"/>
        <v>0</v>
      </c>
    </row>
    <row r="15" spans="1:16" x14ac:dyDescent="0.25">
      <c r="A15" s="6">
        <v>45636</v>
      </c>
      <c r="B15" s="5" t="s">
        <v>187</v>
      </c>
      <c r="C15" s="3">
        <v>200</v>
      </c>
      <c r="D15" s="7" t="s">
        <v>112</v>
      </c>
      <c r="E15" s="8">
        <v>20</v>
      </c>
      <c r="F15" s="28">
        <v>82</v>
      </c>
      <c r="G15" s="30">
        <v>0</v>
      </c>
      <c r="H15" s="31">
        <f t="shared" si="1"/>
        <v>69.7</v>
      </c>
      <c r="I15" s="9">
        <f t="shared" si="0"/>
        <v>0</v>
      </c>
    </row>
    <row r="16" spans="1:16" x14ac:dyDescent="0.25">
      <c r="A16" s="6">
        <v>45637</v>
      </c>
      <c r="B16" s="5" t="s">
        <v>199</v>
      </c>
      <c r="C16" s="3">
        <v>270</v>
      </c>
      <c r="D16" s="7" t="s">
        <v>112</v>
      </c>
      <c r="E16" s="8">
        <v>20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45638</v>
      </c>
      <c r="B17" s="5" t="s">
        <v>200</v>
      </c>
      <c r="C17" s="3">
        <v>220</v>
      </c>
      <c r="D17" s="7" t="s">
        <v>34</v>
      </c>
      <c r="E17" s="8">
        <v>20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45639</v>
      </c>
      <c r="B18" s="5" t="s">
        <v>201</v>
      </c>
      <c r="C18" s="3">
        <v>220</v>
      </c>
      <c r="D18" s="7"/>
      <c r="E18" s="8">
        <v>0</v>
      </c>
      <c r="F18" s="28">
        <v>112.4</v>
      </c>
      <c r="G18" s="30">
        <v>0</v>
      </c>
      <c r="H18" s="31">
        <f t="shared" si="1"/>
        <v>95.54</v>
      </c>
      <c r="I18" s="9">
        <f t="shared" si="0"/>
        <v>0</v>
      </c>
    </row>
    <row r="19" spans="1:9" x14ac:dyDescent="0.25">
      <c r="A19" s="6">
        <v>45640</v>
      </c>
      <c r="B19" s="5" t="s">
        <v>202</v>
      </c>
      <c r="C19" s="3">
        <v>210</v>
      </c>
      <c r="D19" s="7" t="s">
        <v>112</v>
      </c>
      <c r="E19" s="8">
        <v>20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45641</v>
      </c>
      <c r="B20" s="5" t="s">
        <v>197</v>
      </c>
      <c r="C20" s="3">
        <v>0</v>
      </c>
      <c r="D20" s="7"/>
      <c r="E20" s="8">
        <v>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45642</v>
      </c>
      <c r="B21" s="5" t="s">
        <v>203</v>
      </c>
      <c r="C21" s="3">
        <v>270</v>
      </c>
      <c r="D21" s="7"/>
      <c r="E21" s="8">
        <v>0</v>
      </c>
      <c r="F21" s="28">
        <v>88.1</v>
      </c>
      <c r="G21" s="30">
        <v>0</v>
      </c>
      <c r="H21" s="31">
        <f t="shared" si="1"/>
        <v>74.884999999999991</v>
      </c>
      <c r="I21" s="9">
        <f t="shared" si="0"/>
        <v>0</v>
      </c>
    </row>
    <row r="22" spans="1:9" x14ac:dyDescent="0.25">
      <c r="A22" s="6">
        <v>45643</v>
      </c>
      <c r="B22" s="5" t="s">
        <v>148</v>
      </c>
      <c r="C22" s="3">
        <v>100</v>
      </c>
      <c r="D22" s="7" t="s">
        <v>112</v>
      </c>
      <c r="E22" s="8">
        <v>20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45644</v>
      </c>
      <c r="B23" s="5" t="s">
        <v>204</v>
      </c>
      <c r="C23" s="3">
        <v>170</v>
      </c>
      <c r="D23" s="7" t="s">
        <v>112</v>
      </c>
      <c r="E23" s="8">
        <v>20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45645</v>
      </c>
      <c r="B24" s="5" t="s">
        <v>148</v>
      </c>
      <c r="C24" s="3">
        <v>100</v>
      </c>
      <c r="D24" s="7"/>
      <c r="E24" s="8">
        <v>0</v>
      </c>
      <c r="F24" s="28">
        <v>90</v>
      </c>
      <c r="G24" s="30">
        <v>0</v>
      </c>
      <c r="H24" s="31">
        <f t="shared" si="1"/>
        <v>76.5</v>
      </c>
      <c r="I24" s="9">
        <f t="shared" si="0"/>
        <v>0</v>
      </c>
    </row>
    <row r="25" spans="1:9" x14ac:dyDescent="0.25">
      <c r="A25" s="6">
        <v>45646</v>
      </c>
      <c r="B25" s="5" t="s">
        <v>205</v>
      </c>
      <c r="C25" s="3">
        <v>170</v>
      </c>
      <c r="D25" s="7" t="s">
        <v>112</v>
      </c>
      <c r="E25" s="8">
        <v>20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45647</v>
      </c>
      <c r="B26" s="5" t="s">
        <v>206</v>
      </c>
      <c r="C26" s="3">
        <v>0</v>
      </c>
      <c r="D26" s="7"/>
      <c r="E26" s="8">
        <v>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45648</v>
      </c>
      <c r="B27" s="5" t="s">
        <v>197</v>
      </c>
      <c r="C27" s="3">
        <v>0</v>
      </c>
      <c r="D27" s="7"/>
      <c r="E27" s="8">
        <v>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45649</v>
      </c>
      <c r="B28" s="5" t="s">
        <v>187</v>
      </c>
      <c r="C28" s="3">
        <v>200</v>
      </c>
      <c r="D28" s="7" t="s">
        <v>112</v>
      </c>
      <c r="E28" s="8">
        <v>20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45650</v>
      </c>
      <c r="B29" s="5" t="s">
        <v>197</v>
      </c>
      <c r="C29" s="3">
        <v>0</v>
      </c>
      <c r="D29" s="7"/>
      <c r="E29" s="8">
        <v>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45651</v>
      </c>
      <c r="B30" s="5" t="s">
        <v>197</v>
      </c>
      <c r="C30" s="3">
        <v>0</v>
      </c>
      <c r="D30" s="7"/>
      <c r="E30" s="8">
        <v>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45652</v>
      </c>
      <c r="B31" s="5" t="s">
        <v>207</v>
      </c>
      <c r="C31" s="3">
        <v>100</v>
      </c>
      <c r="D31" s="7"/>
      <c r="E31" s="8">
        <v>0</v>
      </c>
      <c r="F31" s="28">
        <v>112</v>
      </c>
      <c r="G31" s="30">
        <v>0</v>
      </c>
      <c r="H31" s="31">
        <f t="shared" si="1"/>
        <v>95.2</v>
      </c>
      <c r="I31" s="9">
        <f t="shared" si="0"/>
        <v>0</v>
      </c>
    </row>
    <row r="32" spans="1:9" x14ac:dyDescent="0.25">
      <c r="A32" s="6">
        <v>45653</v>
      </c>
      <c r="B32" s="5" t="s">
        <v>208</v>
      </c>
      <c r="C32" s="3">
        <v>240</v>
      </c>
      <c r="D32" s="7" t="s">
        <v>112</v>
      </c>
      <c r="E32" s="8">
        <v>20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45654</v>
      </c>
      <c r="B33" s="5" t="s">
        <v>197</v>
      </c>
      <c r="C33" s="3">
        <v>0</v>
      </c>
      <c r="D33" s="7"/>
      <c r="E33" s="8">
        <v>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45655</v>
      </c>
      <c r="B34" s="5" t="s">
        <v>197</v>
      </c>
      <c r="C34" s="3">
        <v>0</v>
      </c>
      <c r="D34" s="7"/>
      <c r="E34" s="8">
        <v>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45656</v>
      </c>
      <c r="B35" s="5" t="s">
        <v>209</v>
      </c>
      <c r="C35" s="3">
        <v>170</v>
      </c>
      <c r="D35" s="7" t="s">
        <v>112</v>
      </c>
      <c r="E35" s="8">
        <v>20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6">
        <v>45657</v>
      </c>
      <c r="B36" s="5" t="s">
        <v>197</v>
      </c>
      <c r="C36" s="3">
        <v>0</v>
      </c>
      <c r="D36" s="7"/>
      <c r="E36" s="8">
        <v>0</v>
      </c>
      <c r="F36" s="28">
        <v>0</v>
      </c>
      <c r="G36" s="30">
        <v>0</v>
      </c>
      <c r="H36" s="31">
        <f t="shared" si="1"/>
        <v>0</v>
      </c>
      <c r="I36" s="9">
        <f t="shared" si="0"/>
        <v>0</v>
      </c>
    </row>
    <row r="37" spans="1:9" x14ac:dyDescent="0.25">
      <c r="A37" s="36"/>
      <c r="B37" s="36"/>
      <c r="C37" s="36"/>
      <c r="D37" s="36"/>
      <c r="E37" s="36"/>
      <c r="F37" s="37">
        <f>SUM(F6:F36)</f>
        <v>566.5</v>
      </c>
      <c r="G37" s="37">
        <f>SUM(G6:G36)</f>
        <v>0</v>
      </c>
      <c r="H37" s="36"/>
      <c r="I37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8"/>
  </sheetPr>
  <dimension ref="A1:P37"/>
  <sheetViews>
    <sheetView workbookViewId="0">
      <selection sqref="A1:P37"/>
    </sheetView>
  </sheetViews>
  <sheetFormatPr defaultRowHeight="15" x14ac:dyDescent="0.25"/>
  <cols>
    <col min="1" max="1" width="11" customWidth="1"/>
    <col min="2" max="2" width="39.85546875" customWidth="1"/>
    <col min="3" max="3" width="15" customWidth="1"/>
    <col min="4" max="4" width="16.28515625" customWidth="1"/>
    <col min="5" max="5" width="13.7109375" customWidth="1"/>
    <col min="6" max="6" width="25.42578125" customWidth="1"/>
    <col min="7" max="7" width="27.7109375" customWidth="1"/>
    <col min="8" max="8" width="23.7109375" customWidth="1"/>
    <col min="9" max="9" width="19.7109375" customWidth="1"/>
    <col min="15" max="15" width="42.5703125" customWidth="1"/>
    <col min="16" max="16" width="44.710937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18.75" x14ac:dyDescent="0.3">
      <c r="A4" s="81" t="s">
        <v>213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SUM(C6:C36)</f>
        <v>2920</v>
      </c>
    </row>
    <row r="5" spans="1:16" ht="24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SUM(E6:E36)</f>
        <v>267</v>
      </c>
    </row>
    <row r="6" spans="1:16" ht="18.75" customHeight="1" x14ac:dyDescent="0.25">
      <c r="A6" s="6">
        <v>45627</v>
      </c>
      <c r="B6" s="5" t="s">
        <v>210</v>
      </c>
      <c r="C6" s="3">
        <v>0</v>
      </c>
      <c r="D6" s="7"/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45628</v>
      </c>
      <c r="B7" s="5" t="s">
        <v>210</v>
      </c>
      <c r="C7" s="3">
        <v>0</v>
      </c>
      <c r="D7" s="7"/>
      <c r="E7" s="8">
        <v>0</v>
      </c>
      <c r="F7" s="28">
        <v>0</v>
      </c>
      <c r="G7" s="30">
        <v>0</v>
      </c>
      <c r="H7" s="31">
        <f>F7*0.85</f>
        <v>0</v>
      </c>
      <c r="I7" s="9">
        <f t="shared" ref="I7:I36" si="0">G7*0.9</f>
        <v>0</v>
      </c>
      <c r="O7" s="13" t="s">
        <v>54</v>
      </c>
      <c r="P7" s="14">
        <f>SUM(F37+G37)</f>
        <v>944.8</v>
      </c>
    </row>
    <row r="8" spans="1:16" x14ac:dyDescent="0.25">
      <c r="A8" s="6">
        <v>45629</v>
      </c>
      <c r="B8" s="5" t="s">
        <v>210</v>
      </c>
      <c r="C8" s="3">
        <v>0</v>
      </c>
      <c r="D8" s="7"/>
      <c r="E8" s="8">
        <v>0</v>
      </c>
      <c r="F8" s="28">
        <v>0</v>
      </c>
      <c r="G8" s="30">
        <v>0</v>
      </c>
      <c r="H8" s="31">
        <f>F8*0.85</f>
        <v>0</v>
      </c>
      <c r="I8" s="9">
        <f t="shared" si="0"/>
        <v>0</v>
      </c>
      <c r="O8" s="20" t="s">
        <v>18</v>
      </c>
      <c r="P8" s="21">
        <f>SUM(P5+P4)</f>
        <v>3187</v>
      </c>
    </row>
    <row r="9" spans="1:16" x14ac:dyDescent="0.25">
      <c r="A9" s="6">
        <v>45630</v>
      </c>
      <c r="B9" s="5" t="s">
        <v>210</v>
      </c>
      <c r="C9" s="3">
        <v>0</v>
      </c>
      <c r="D9" s="7"/>
      <c r="E9" s="8">
        <v>0</v>
      </c>
      <c r="F9" s="28">
        <v>0</v>
      </c>
      <c r="G9" s="30">
        <v>0</v>
      </c>
      <c r="H9" s="31">
        <f>F9*0.85</f>
        <v>0</v>
      </c>
      <c r="I9" s="9">
        <f t="shared" si="0"/>
        <v>0</v>
      </c>
      <c r="O9" s="22" t="s">
        <v>21</v>
      </c>
      <c r="P9" s="33">
        <f>SUM(H6:H36)</f>
        <v>803.08</v>
      </c>
    </row>
    <row r="10" spans="1:16" x14ac:dyDescent="0.25">
      <c r="A10" s="6">
        <v>45631</v>
      </c>
      <c r="B10" s="5" t="s">
        <v>210</v>
      </c>
      <c r="C10" s="3">
        <v>0</v>
      </c>
      <c r="D10" s="7"/>
      <c r="E10" s="8">
        <v>0</v>
      </c>
      <c r="F10" s="28">
        <v>0</v>
      </c>
      <c r="G10" s="30">
        <v>0</v>
      </c>
      <c r="H10" s="31">
        <f>F10*0.85</f>
        <v>0</v>
      </c>
      <c r="I10" s="9">
        <f t="shared" si="0"/>
        <v>0</v>
      </c>
      <c r="O10" s="23" t="s">
        <v>22</v>
      </c>
      <c r="P10" s="9">
        <f>SUM(I6:I36)</f>
        <v>0</v>
      </c>
    </row>
    <row r="11" spans="1:16" x14ac:dyDescent="0.25">
      <c r="A11" s="6">
        <v>45632</v>
      </c>
      <c r="B11" s="5" t="s">
        <v>211</v>
      </c>
      <c r="C11" s="3">
        <v>170</v>
      </c>
      <c r="D11" s="7" t="s">
        <v>212</v>
      </c>
      <c r="E11" s="8">
        <v>20</v>
      </c>
      <c r="F11" s="28">
        <v>83</v>
      </c>
      <c r="G11" s="30">
        <v>0</v>
      </c>
      <c r="H11" s="31">
        <f t="shared" ref="H11:H36" si="1">F11*0.85</f>
        <v>70.55</v>
      </c>
      <c r="I11" s="9">
        <f t="shared" si="0"/>
        <v>0</v>
      </c>
      <c r="O11" s="24" t="s">
        <v>24</v>
      </c>
      <c r="P11" s="34">
        <f>P9+P10</f>
        <v>803.08</v>
      </c>
    </row>
    <row r="12" spans="1:16" ht="18" customHeight="1" x14ac:dyDescent="0.25">
      <c r="A12" s="6">
        <v>45633</v>
      </c>
      <c r="B12" s="5" t="s">
        <v>210</v>
      </c>
      <c r="C12" s="3">
        <v>0</v>
      </c>
      <c r="D12" s="7"/>
      <c r="E12" s="8">
        <v>0</v>
      </c>
      <c r="F12" s="28">
        <v>0</v>
      </c>
      <c r="G12" s="30">
        <v>0</v>
      </c>
      <c r="H12" s="31">
        <f t="shared" si="1"/>
        <v>0</v>
      </c>
      <c r="I12" s="9">
        <f t="shared" si="0"/>
        <v>0</v>
      </c>
      <c r="O12" s="25" t="s">
        <v>67</v>
      </c>
      <c r="P12" s="26">
        <f>SUM(P8+P11)</f>
        <v>3990.08</v>
      </c>
    </row>
    <row r="13" spans="1:16" x14ac:dyDescent="0.25">
      <c r="A13" s="6">
        <v>45634</v>
      </c>
      <c r="B13" s="5" t="s">
        <v>214</v>
      </c>
      <c r="C13" s="3">
        <v>200</v>
      </c>
      <c r="D13" s="7" t="s">
        <v>212</v>
      </c>
      <c r="E13" s="8">
        <v>20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45635</v>
      </c>
      <c r="B14" s="5" t="s">
        <v>214</v>
      </c>
      <c r="C14" s="3">
        <v>200</v>
      </c>
      <c r="D14" s="7" t="s">
        <v>212</v>
      </c>
      <c r="E14" s="8">
        <v>20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45636</v>
      </c>
      <c r="B15" s="5" t="s">
        <v>215</v>
      </c>
      <c r="C15" s="3">
        <v>170</v>
      </c>
      <c r="D15" s="7" t="s">
        <v>212</v>
      </c>
      <c r="E15" s="8">
        <v>20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45637</v>
      </c>
      <c r="B16" s="5" t="s">
        <v>168</v>
      </c>
      <c r="C16" s="3">
        <v>190</v>
      </c>
      <c r="D16" s="7" t="s">
        <v>212</v>
      </c>
      <c r="E16" s="8">
        <v>20</v>
      </c>
      <c r="F16" s="28">
        <v>110</v>
      </c>
      <c r="G16" s="30">
        <v>0</v>
      </c>
      <c r="H16" s="31">
        <f t="shared" si="1"/>
        <v>93.5</v>
      </c>
      <c r="I16" s="9">
        <f t="shared" si="0"/>
        <v>0</v>
      </c>
    </row>
    <row r="17" spans="1:9" x14ac:dyDescent="0.25">
      <c r="A17" s="6">
        <v>45638</v>
      </c>
      <c r="B17" s="5" t="s">
        <v>210</v>
      </c>
      <c r="C17" s="3">
        <v>0</v>
      </c>
      <c r="D17" s="7"/>
      <c r="E17" s="8">
        <v>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45639</v>
      </c>
      <c r="B18" s="5" t="s">
        <v>216</v>
      </c>
      <c r="C18" s="3">
        <v>70</v>
      </c>
      <c r="D18" s="7"/>
      <c r="E18" s="8">
        <v>0</v>
      </c>
      <c r="F18" s="28">
        <v>100.8</v>
      </c>
      <c r="G18" s="30">
        <v>0</v>
      </c>
      <c r="H18" s="31">
        <f t="shared" si="1"/>
        <v>85.679999999999993</v>
      </c>
      <c r="I18" s="9">
        <f t="shared" si="0"/>
        <v>0</v>
      </c>
    </row>
    <row r="19" spans="1:9" x14ac:dyDescent="0.25">
      <c r="A19" s="6">
        <v>45640</v>
      </c>
      <c r="B19" s="5" t="s">
        <v>149</v>
      </c>
      <c r="C19" s="3">
        <v>70</v>
      </c>
      <c r="D19" s="7" t="s">
        <v>112</v>
      </c>
      <c r="E19" s="8">
        <v>20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45641</v>
      </c>
      <c r="B20" s="5" t="s">
        <v>210</v>
      </c>
      <c r="C20" s="3">
        <v>0</v>
      </c>
      <c r="D20" s="7"/>
      <c r="E20" s="8">
        <v>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45642</v>
      </c>
      <c r="B21" s="5" t="s">
        <v>217</v>
      </c>
      <c r="C21" s="3">
        <v>270</v>
      </c>
      <c r="D21" s="7"/>
      <c r="E21" s="8">
        <v>0</v>
      </c>
      <c r="F21" s="28">
        <v>271</v>
      </c>
      <c r="G21" s="30">
        <v>0</v>
      </c>
      <c r="H21" s="31">
        <f t="shared" si="1"/>
        <v>230.35</v>
      </c>
      <c r="I21" s="9">
        <f t="shared" si="0"/>
        <v>0</v>
      </c>
    </row>
    <row r="22" spans="1:9" x14ac:dyDescent="0.25">
      <c r="A22" s="6">
        <v>45643</v>
      </c>
      <c r="B22" s="5" t="s">
        <v>149</v>
      </c>
      <c r="C22" s="3">
        <v>70</v>
      </c>
      <c r="D22" s="7"/>
      <c r="E22" s="8">
        <v>0</v>
      </c>
      <c r="F22" s="28">
        <v>70</v>
      </c>
      <c r="G22" s="30">
        <v>0</v>
      </c>
      <c r="H22" s="31">
        <f t="shared" si="1"/>
        <v>59.5</v>
      </c>
      <c r="I22" s="9">
        <f t="shared" si="0"/>
        <v>0</v>
      </c>
    </row>
    <row r="23" spans="1:9" x14ac:dyDescent="0.25">
      <c r="A23" s="6">
        <v>45644</v>
      </c>
      <c r="B23" s="5" t="s">
        <v>221</v>
      </c>
      <c r="C23" s="3">
        <v>100</v>
      </c>
      <c r="D23" s="7" t="s">
        <v>112</v>
      </c>
      <c r="E23" s="8">
        <v>20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45645</v>
      </c>
      <c r="B24" s="5" t="s">
        <v>210</v>
      </c>
      <c r="C24" s="3">
        <v>0</v>
      </c>
      <c r="D24" s="7"/>
      <c r="E24" s="8">
        <v>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45646</v>
      </c>
      <c r="B25" s="5" t="s">
        <v>210</v>
      </c>
      <c r="C25" s="3">
        <v>0</v>
      </c>
      <c r="D25" s="7"/>
      <c r="E25" s="8">
        <v>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45647</v>
      </c>
      <c r="B26" s="5" t="s">
        <v>210</v>
      </c>
      <c r="C26" s="3">
        <v>0</v>
      </c>
      <c r="D26" s="7"/>
      <c r="E26" s="8">
        <v>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45648</v>
      </c>
      <c r="B27" s="5" t="s">
        <v>218</v>
      </c>
      <c r="C27" s="3">
        <v>200</v>
      </c>
      <c r="D27" s="7" t="s">
        <v>112</v>
      </c>
      <c r="E27" s="8">
        <v>20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45649</v>
      </c>
      <c r="B28" s="5" t="s">
        <v>219</v>
      </c>
      <c r="C28" s="3">
        <v>70</v>
      </c>
      <c r="D28" s="7" t="s">
        <v>220</v>
      </c>
      <c r="E28" s="8">
        <v>7</v>
      </c>
      <c r="F28" s="28">
        <v>130</v>
      </c>
      <c r="G28" s="30">
        <v>0</v>
      </c>
      <c r="H28" s="31">
        <f t="shared" si="1"/>
        <v>110.5</v>
      </c>
      <c r="I28" s="9">
        <f t="shared" si="0"/>
        <v>0</v>
      </c>
    </row>
    <row r="29" spans="1:9" x14ac:dyDescent="0.25">
      <c r="A29" s="6">
        <v>45650</v>
      </c>
      <c r="B29" s="5" t="s">
        <v>222</v>
      </c>
      <c r="C29" s="3">
        <v>100</v>
      </c>
      <c r="D29" s="7" t="s">
        <v>112</v>
      </c>
      <c r="E29" s="8">
        <v>20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45651</v>
      </c>
      <c r="B30" s="5" t="s">
        <v>207</v>
      </c>
      <c r="C30" s="3">
        <v>100</v>
      </c>
      <c r="D30" s="7"/>
      <c r="E30" s="8">
        <v>0</v>
      </c>
      <c r="F30" s="28">
        <v>180</v>
      </c>
      <c r="G30" s="30">
        <v>0</v>
      </c>
      <c r="H30" s="31">
        <f t="shared" si="1"/>
        <v>153</v>
      </c>
      <c r="I30" s="9">
        <f t="shared" si="0"/>
        <v>0</v>
      </c>
    </row>
    <row r="31" spans="1:9" x14ac:dyDescent="0.25">
      <c r="A31" s="6">
        <v>45652</v>
      </c>
      <c r="B31" s="5" t="s">
        <v>210</v>
      </c>
      <c r="C31" s="3">
        <v>0</v>
      </c>
      <c r="D31" s="7"/>
      <c r="E31" s="8">
        <v>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45653</v>
      </c>
      <c r="B32" s="5" t="s">
        <v>215</v>
      </c>
      <c r="C32" s="3">
        <v>170</v>
      </c>
      <c r="D32" s="7" t="s">
        <v>112</v>
      </c>
      <c r="E32" s="8">
        <v>20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45654</v>
      </c>
      <c r="B33" s="5" t="s">
        <v>223</v>
      </c>
      <c r="C33" s="3">
        <v>170</v>
      </c>
      <c r="D33" s="7" t="s">
        <v>112</v>
      </c>
      <c r="E33" s="8">
        <v>20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45655</v>
      </c>
      <c r="B34" s="5" t="s">
        <v>210</v>
      </c>
      <c r="C34" s="3">
        <v>0</v>
      </c>
      <c r="D34" s="7"/>
      <c r="E34" s="8">
        <v>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45656</v>
      </c>
      <c r="B35" s="5" t="s">
        <v>224</v>
      </c>
      <c r="C35" s="3">
        <v>240</v>
      </c>
      <c r="D35" s="7" t="s">
        <v>112</v>
      </c>
      <c r="E35" s="8">
        <v>20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6">
        <v>45657</v>
      </c>
      <c r="B36" s="5" t="s">
        <v>225</v>
      </c>
      <c r="C36" s="3">
        <v>360</v>
      </c>
      <c r="D36" s="7" t="s">
        <v>112</v>
      </c>
      <c r="E36" s="8">
        <v>20</v>
      </c>
      <c r="F36" s="28">
        <v>0</v>
      </c>
      <c r="G36" s="30">
        <v>0</v>
      </c>
      <c r="H36" s="31">
        <f t="shared" si="1"/>
        <v>0</v>
      </c>
      <c r="I36" s="9">
        <f t="shared" si="0"/>
        <v>0</v>
      </c>
    </row>
    <row r="37" spans="1:9" x14ac:dyDescent="0.25">
      <c r="A37" s="36"/>
      <c r="B37" s="36"/>
      <c r="C37" s="36"/>
      <c r="D37" s="36"/>
      <c r="E37" s="36"/>
      <c r="F37" s="37">
        <f>SUM(F6:F36)</f>
        <v>944.8</v>
      </c>
      <c r="G37" s="37">
        <f>SUM(G6:G36)</f>
        <v>0</v>
      </c>
      <c r="H37" s="36"/>
      <c r="I37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59999389629810485"/>
  </sheetPr>
  <dimension ref="A1:P34"/>
  <sheetViews>
    <sheetView workbookViewId="0">
      <selection activeCell="F33" sqref="F33"/>
    </sheetView>
  </sheetViews>
  <sheetFormatPr defaultRowHeight="15" x14ac:dyDescent="0.25"/>
  <cols>
    <col min="1" max="1" width="13" customWidth="1"/>
    <col min="2" max="2" width="42.28515625" customWidth="1"/>
    <col min="3" max="3" width="12.28515625" customWidth="1"/>
    <col min="4" max="4" width="12.7109375" customWidth="1"/>
    <col min="5" max="5" width="23" customWidth="1"/>
    <col min="6" max="6" width="24.42578125" customWidth="1"/>
    <col min="7" max="7" width="28.7109375" customWidth="1"/>
    <col min="8" max="8" width="35.42578125" customWidth="1"/>
    <col min="9" max="9" width="17.85546875" customWidth="1"/>
    <col min="12" max="12" width="10.7109375" bestFit="1" customWidth="1"/>
    <col min="15" max="15" width="41.140625" customWidth="1"/>
    <col min="16" max="16" width="28.57031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18.75" x14ac:dyDescent="0.3">
      <c r="A4" s="81" t="s">
        <v>226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SUM(C6:C33)</f>
        <v>3649</v>
      </c>
    </row>
    <row r="5" spans="1:16" ht="21.7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SUM(E6:E33)</f>
        <v>327.39999999999998</v>
      </c>
    </row>
    <row r="6" spans="1:16" ht="16.5" customHeight="1" x14ac:dyDescent="0.25">
      <c r="A6" s="6">
        <v>45689</v>
      </c>
      <c r="B6" s="5" t="s">
        <v>227</v>
      </c>
      <c r="C6" s="3">
        <v>220</v>
      </c>
      <c r="D6" s="7" t="s">
        <v>112</v>
      </c>
      <c r="E6" s="8">
        <v>20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45690</v>
      </c>
      <c r="B7" s="5" t="s">
        <v>163</v>
      </c>
      <c r="C7" s="3">
        <v>0</v>
      </c>
      <c r="D7" s="7"/>
      <c r="E7" s="8">
        <v>0</v>
      </c>
      <c r="F7" s="28">
        <v>0</v>
      </c>
      <c r="G7" s="30">
        <v>0</v>
      </c>
      <c r="H7" s="31">
        <f>F7*0.85</f>
        <v>0</v>
      </c>
      <c r="I7" s="9">
        <f t="shared" ref="I7:I33" si="0">G7*0.9</f>
        <v>0</v>
      </c>
      <c r="O7" s="13" t="s">
        <v>54</v>
      </c>
      <c r="P7" s="14">
        <f>SUM(F6:F33)</f>
        <v>1868.7999999999997</v>
      </c>
    </row>
    <row r="8" spans="1:16" x14ac:dyDescent="0.25">
      <c r="A8" s="6">
        <v>45691</v>
      </c>
      <c r="B8" s="5" t="s">
        <v>228</v>
      </c>
      <c r="C8" s="3">
        <v>70</v>
      </c>
      <c r="D8" s="7" t="s">
        <v>112</v>
      </c>
      <c r="E8" s="8">
        <v>20</v>
      </c>
      <c r="F8" s="28">
        <v>0</v>
      </c>
      <c r="G8" s="30">
        <v>0</v>
      </c>
      <c r="H8" s="31">
        <f>F8*0.85</f>
        <v>0</v>
      </c>
      <c r="I8" s="9">
        <f t="shared" si="0"/>
        <v>0</v>
      </c>
      <c r="O8" s="20" t="s">
        <v>18</v>
      </c>
      <c r="P8" s="21">
        <f>SUM(P5+P4)</f>
        <v>3976.4</v>
      </c>
    </row>
    <row r="9" spans="1:16" x14ac:dyDescent="0.25">
      <c r="A9" s="6">
        <v>45692</v>
      </c>
      <c r="B9" s="5" t="s">
        <v>229</v>
      </c>
      <c r="C9" s="3">
        <v>340</v>
      </c>
      <c r="D9" s="7" t="s">
        <v>112</v>
      </c>
      <c r="E9" s="8">
        <v>20</v>
      </c>
      <c r="F9" s="28">
        <v>0</v>
      </c>
      <c r="G9" s="30">
        <v>0</v>
      </c>
      <c r="H9" s="31">
        <f>F9*0.85</f>
        <v>0</v>
      </c>
      <c r="I9" s="9">
        <f t="shared" si="0"/>
        <v>0</v>
      </c>
      <c r="O9" s="22" t="s">
        <v>21</v>
      </c>
      <c r="P9" s="33">
        <f>SUM(H6:H33)</f>
        <v>1588.48</v>
      </c>
    </row>
    <row r="10" spans="1:16" x14ac:dyDescent="0.25">
      <c r="A10" s="6">
        <v>45693</v>
      </c>
      <c r="B10" s="5" t="s">
        <v>230</v>
      </c>
      <c r="C10" s="3">
        <v>170</v>
      </c>
      <c r="D10" s="7" t="s">
        <v>231</v>
      </c>
      <c r="E10" s="8">
        <v>28.4</v>
      </c>
      <c r="F10" s="28">
        <v>600</v>
      </c>
      <c r="G10" s="30">
        <v>0</v>
      </c>
      <c r="H10" s="31">
        <f>F10*0.85</f>
        <v>510</v>
      </c>
      <c r="I10" s="9">
        <f t="shared" si="0"/>
        <v>0</v>
      </c>
      <c r="O10" s="23" t="s">
        <v>22</v>
      </c>
      <c r="P10" s="9">
        <f>SUM(G6:G33)</f>
        <v>0</v>
      </c>
    </row>
    <row r="11" spans="1:16" x14ac:dyDescent="0.25">
      <c r="A11" s="6">
        <v>45694</v>
      </c>
      <c r="B11" s="5" t="s">
        <v>163</v>
      </c>
      <c r="C11" s="3">
        <v>0</v>
      </c>
      <c r="D11" s="7"/>
      <c r="E11" s="8">
        <v>0</v>
      </c>
      <c r="F11" s="28">
        <v>0</v>
      </c>
      <c r="G11" s="30">
        <v>0</v>
      </c>
      <c r="H11" s="31">
        <f t="shared" ref="H11:H33" si="1">F11*0.85</f>
        <v>0</v>
      </c>
      <c r="I11" s="9">
        <f t="shared" si="0"/>
        <v>0</v>
      </c>
      <c r="O11" s="24" t="s">
        <v>24</v>
      </c>
      <c r="P11" s="34">
        <f>SUM(P9:P10)</f>
        <v>1588.48</v>
      </c>
    </row>
    <row r="12" spans="1:16" ht="13.5" customHeight="1" x14ac:dyDescent="0.25">
      <c r="A12" s="6">
        <v>45695</v>
      </c>
      <c r="B12" s="5" t="s">
        <v>232</v>
      </c>
      <c r="C12" s="3">
        <v>140</v>
      </c>
      <c r="D12" s="7"/>
      <c r="E12" s="8">
        <v>0</v>
      </c>
      <c r="F12" s="28">
        <v>112.4</v>
      </c>
      <c r="G12" s="30">
        <v>0</v>
      </c>
      <c r="H12" s="31">
        <f t="shared" si="1"/>
        <v>95.54</v>
      </c>
      <c r="I12" s="9">
        <f t="shared" si="0"/>
        <v>0</v>
      </c>
      <c r="O12" s="25" t="s">
        <v>67</v>
      </c>
      <c r="P12" s="26">
        <f>SUM(P8:P9)</f>
        <v>5564.88</v>
      </c>
    </row>
    <row r="13" spans="1:16" x14ac:dyDescent="0.25">
      <c r="A13" s="6">
        <v>45696</v>
      </c>
      <c r="B13" s="5" t="s">
        <v>233</v>
      </c>
      <c r="C13" s="3">
        <v>70</v>
      </c>
      <c r="D13" s="7" t="s">
        <v>112</v>
      </c>
      <c r="E13" s="8">
        <v>20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45697</v>
      </c>
      <c r="B14" s="5" t="s">
        <v>163</v>
      </c>
      <c r="C14" s="3">
        <v>0</v>
      </c>
      <c r="D14" s="7"/>
      <c r="E14" s="8">
        <v>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45698</v>
      </c>
      <c r="B15" s="5" t="s">
        <v>234</v>
      </c>
      <c r="C15" s="3">
        <v>179</v>
      </c>
      <c r="D15" s="7" t="s">
        <v>112</v>
      </c>
      <c r="E15" s="8">
        <v>20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45699</v>
      </c>
      <c r="B16" s="5" t="s">
        <v>235</v>
      </c>
      <c r="C16" s="3">
        <v>240</v>
      </c>
      <c r="D16" s="7" t="s">
        <v>112</v>
      </c>
      <c r="E16" s="8">
        <v>20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12" x14ac:dyDescent="0.25">
      <c r="A17" s="6">
        <v>45700</v>
      </c>
      <c r="B17" s="5" t="s">
        <v>236</v>
      </c>
      <c r="C17" s="3">
        <v>310</v>
      </c>
      <c r="D17" s="7"/>
      <c r="E17" s="8">
        <v>0</v>
      </c>
      <c r="F17" s="28">
        <v>104</v>
      </c>
      <c r="G17" s="30">
        <v>0</v>
      </c>
      <c r="H17" s="31">
        <f t="shared" si="1"/>
        <v>88.399999999999991</v>
      </c>
      <c r="I17" s="9">
        <f t="shared" si="0"/>
        <v>0</v>
      </c>
    </row>
    <row r="18" spans="1:12" x14ac:dyDescent="0.25">
      <c r="A18" s="6">
        <v>45701</v>
      </c>
      <c r="B18" s="5" t="s">
        <v>233</v>
      </c>
      <c r="C18" s="3">
        <v>70</v>
      </c>
      <c r="D18" s="7" t="s">
        <v>112</v>
      </c>
      <c r="E18" s="8">
        <v>20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12" x14ac:dyDescent="0.25">
      <c r="A19" s="6">
        <v>45702</v>
      </c>
      <c r="B19" s="5" t="s">
        <v>237</v>
      </c>
      <c r="C19" s="3">
        <v>200</v>
      </c>
      <c r="D19" s="7" t="s">
        <v>112</v>
      </c>
      <c r="E19" s="8">
        <v>20</v>
      </c>
      <c r="F19" s="28">
        <v>82.8</v>
      </c>
      <c r="G19" s="30">
        <v>0</v>
      </c>
      <c r="H19" s="31">
        <f t="shared" si="1"/>
        <v>70.38</v>
      </c>
      <c r="I19" s="9">
        <f t="shared" si="0"/>
        <v>0</v>
      </c>
    </row>
    <row r="20" spans="1:12" x14ac:dyDescent="0.25">
      <c r="A20" s="6">
        <v>45703</v>
      </c>
      <c r="B20" s="5" t="s">
        <v>228</v>
      </c>
      <c r="C20" s="3">
        <v>70</v>
      </c>
      <c r="D20" s="7"/>
      <c r="E20" s="8">
        <v>0</v>
      </c>
      <c r="F20" s="28">
        <v>140</v>
      </c>
      <c r="G20" s="30">
        <v>0</v>
      </c>
      <c r="H20" s="31">
        <f t="shared" si="1"/>
        <v>119</v>
      </c>
      <c r="I20" s="9">
        <f t="shared" si="0"/>
        <v>0</v>
      </c>
    </row>
    <row r="21" spans="1:12" x14ac:dyDescent="0.25">
      <c r="A21" s="6">
        <v>45704</v>
      </c>
      <c r="B21" s="5" t="s">
        <v>163</v>
      </c>
      <c r="C21" s="3">
        <v>0</v>
      </c>
      <c r="D21" s="7"/>
      <c r="E21" s="8">
        <v>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  <c r="L21" s="41"/>
    </row>
    <row r="22" spans="1:12" x14ac:dyDescent="0.25">
      <c r="A22" s="6">
        <v>45705</v>
      </c>
      <c r="B22" s="5" t="s">
        <v>238</v>
      </c>
      <c r="C22" s="3">
        <v>200</v>
      </c>
      <c r="D22" s="7"/>
      <c r="E22" s="8">
        <v>0</v>
      </c>
      <c r="F22" s="28">
        <v>82.8</v>
      </c>
      <c r="G22" s="30">
        <v>0</v>
      </c>
      <c r="H22" s="31">
        <f t="shared" si="1"/>
        <v>70.38</v>
      </c>
      <c r="I22" s="9">
        <f t="shared" si="0"/>
        <v>0</v>
      </c>
      <c r="L22" s="42"/>
    </row>
    <row r="23" spans="1:12" x14ac:dyDescent="0.25">
      <c r="A23" s="6">
        <v>45706</v>
      </c>
      <c r="B23" s="5" t="s">
        <v>239</v>
      </c>
      <c r="C23" s="3">
        <v>260</v>
      </c>
      <c r="D23" s="7"/>
      <c r="E23" s="8">
        <v>0</v>
      </c>
      <c r="F23" s="28">
        <v>82.8</v>
      </c>
      <c r="G23" s="30">
        <v>0</v>
      </c>
      <c r="H23" s="31">
        <f t="shared" si="1"/>
        <v>70.38</v>
      </c>
      <c r="I23" s="9">
        <f t="shared" si="0"/>
        <v>0</v>
      </c>
    </row>
    <row r="24" spans="1:12" x14ac:dyDescent="0.25">
      <c r="A24" s="6">
        <v>45707</v>
      </c>
      <c r="B24" s="5" t="s">
        <v>149</v>
      </c>
      <c r="C24" s="3">
        <v>70</v>
      </c>
      <c r="D24" s="7" t="s">
        <v>231</v>
      </c>
      <c r="E24" s="8">
        <v>14</v>
      </c>
      <c r="F24" s="28">
        <v>80</v>
      </c>
      <c r="G24" s="30">
        <v>0</v>
      </c>
      <c r="H24" s="31">
        <f t="shared" si="1"/>
        <v>68</v>
      </c>
      <c r="I24" s="9">
        <f t="shared" si="0"/>
        <v>0</v>
      </c>
    </row>
    <row r="25" spans="1:12" x14ac:dyDescent="0.25">
      <c r="A25" s="6">
        <v>45708</v>
      </c>
      <c r="B25" s="5" t="s">
        <v>240</v>
      </c>
      <c r="C25" s="3">
        <v>170</v>
      </c>
      <c r="D25" s="7" t="s">
        <v>112</v>
      </c>
      <c r="E25" s="8">
        <v>20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12" x14ac:dyDescent="0.25">
      <c r="A26" s="6">
        <v>45709</v>
      </c>
      <c r="B26" s="5" t="s">
        <v>241</v>
      </c>
      <c r="C26" s="3">
        <v>170</v>
      </c>
      <c r="D26" s="7" t="s">
        <v>112</v>
      </c>
      <c r="E26" s="8">
        <v>20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12" x14ac:dyDescent="0.25">
      <c r="A27" s="6">
        <v>45710</v>
      </c>
      <c r="B27" s="5" t="s">
        <v>242</v>
      </c>
      <c r="C27" s="3">
        <v>70</v>
      </c>
      <c r="D27" s="7"/>
      <c r="E27" s="8">
        <v>0</v>
      </c>
      <c r="F27" s="28">
        <v>140</v>
      </c>
      <c r="G27" s="30">
        <v>0</v>
      </c>
      <c r="H27" s="31">
        <f t="shared" si="1"/>
        <v>119</v>
      </c>
      <c r="I27" s="9">
        <f t="shared" si="0"/>
        <v>0</v>
      </c>
    </row>
    <row r="28" spans="1:12" x14ac:dyDescent="0.25">
      <c r="A28" s="6">
        <v>45711</v>
      </c>
      <c r="B28" s="5" t="s">
        <v>163</v>
      </c>
      <c r="C28" s="3">
        <v>0</v>
      </c>
      <c r="D28" s="7"/>
      <c r="E28" s="8">
        <v>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12" x14ac:dyDescent="0.25">
      <c r="A29" s="6">
        <v>45712</v>
      </c>
      <c r="B29" s="5" t="s">
        <v>163</v>
      </c>
      <c r="C29" s="3">
        <v>0</v>
      </c>
      <c r="D29" s="7"/>
      <c r="E29" s="8">
        <v>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12" x14ac:dyDescent="0.25">
      <c r="A30" s="6">
        <v>45713</v>
      </c>
      <c r="B30" s="5" t="s">
        <v>207</v>
      </c>
      <c r="C30" s="3">
        <v>100</v>
      </c>
      <c r="D30" s="7" t="s">
        <v>231</v>
      </c>
      <c r="E30" s="8">
        <v>25</v>
      </c>
      <c r="F30" s="28">
        <v>320</v>
      </c>
      <c r="G30" s="30">
        <v>0</v>
      </c>
      <c r="H30" s="31">
        <f t="shared" si="1"/>
        <v>272</v>
      </c>
      <c r="I30" s="9">
        <f t="shared" si="0"/>
        <v>0</v>
      </c>
    </row>
    <row r="31" spans="1:12" x14ac:dyDescent="0.25">
      <c r="A31" s="6">
        <v>45714</v>
      </c>
      <c r="B31" s="5" t="s">
        <v>243</v>
      </c>
      <c r="C31" s="3">
        <v>200</v>
      </c>
      <c r="D31" s="7" t="s">
        <v>112</v>
      </c>
      <c r="E31" s="8">
        <v>20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12" x14ac:dyDescent="0.25">
      <c r="A32" s="6">
        <v>45715</v>
      </c>
      <c r="B32" s="5" t="s">
        <v>244</v>
      </c>
      <c r="C32" s="3">
        <v>190</v>
      </c>
      <c r="D32" s="7" t="s">
        <v>112</v>
      </c>
      <c r="E32" s="8">
        <v>20</v>
      </c>
      <c r="F32" s="28">
        <v>124</v>
      </c>
      <c r="G32" s="30">
        <v>0</v>
      </c>
      <c r="H32" s="31">
        <f t="shared" si="1"/>
        <v>105.39999999999999</v>
      </c>
      <c r="I32" s="9">
        <f t="shared" si="0"/>
        <v>0</v>
      </c>
    </row>
    <row r="33" spans="1:9" x14ac:dyDescent="0.25">
      <c r="A33" s="6">
        <v>45716</v>
      </c>
      <c r="B33" s="5" t="s">
        <v>245</v>
      </c>
      <c r="C33" s="3">
        <v>140</v>
      </c>
      <c r="D33" s="7" t="s">
        <v>112</v>
      </c>
      <c r="E33" s="8">
        <v>20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F34" s="41">
        <f>SUM(F6:F33)</f>
        <v>1868.7999999999997</v>
      </c>
      <c r="G34" s="41">
        <f>SUM(G6:G33)</f>
        <v>0</v>
      </c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P37"/>
  <sheetViews>
    <sheetView workbookViewId="0">
      <selection sqref="A1:P37"/>
    </sheetView>
  </sheetViews>
  <sheetFormatPr defaultRowHeight="15" x14ac:dyDescent="0.25"/>
  <cols>
    <col min="1" max="1" width="10.7109375" customWidth="1"/>
    <col min="2" max="2" width="44.7109375" customWidth="1"/>
    <col min="3" max="3" width="11.140625" customWidth="1"/>
    <col min="4" max="4" width="16.85546875" customWidth="1"/>
    <col min="5" max="5" width="23" customWidth="1"/>
    <col min="6" max="6" width="24.7109375" customWidth="1"/>
    <col min="7" max="7" width="23.42578125" customWidth="1"/>
    <col min="8" max="8" width="20.42578125" customWidth="1"/>
    <col min="9" max="9" width="21.42578125" customWidth="1"/>
    <col min="15" max="15" width="46" customWidth="1"/>
    <col min="16" max="16" width="61.8554687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12" customHeight="1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7.75" customHeight="1" x14ac:dyDescent="0.3">
      <c r="A4" s="81" t="s">
        <v>213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SUM(C6:C36)</f>
        <v>2640</v>
      </c>
    </row>
    <row r="5" spans="1:16" ht="41.2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SUM(E6:E36)</f>
        <v>279.95000000000005</v>
      </c>
    </row>
    <row r="6" spans="1:16" ht="16.5" customHeight="1" x14ac:dyDescent="0.25">
      <c r="A6" s="6">
        <v>45717</v>
      </c>
      <c r="B6" s="5" t="s">
        <v>47</v>
      </c>
      <c r="C6" s="3">
        <v>0</v>
      </c>
      <c r="D6" s="7"/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45718</v>
      </c>
      <c r="B7" s="5" t="s">
        <v>47</v>
      </c>
      <c r="C7" s="3">
        <v>0</v>
      </c>
      <c r="D7" s="7"/>
      <c r="E7" s="8">
        <v>0</v>
      </c>
      <c r="F7" s="28">
        <v>0</v>
      </c>
      <c r="G7" s="30">
        <v>0</v>
      </c>
      <c r="H7" s="31">
        <f>F7*0.85</f>
        <v>0</v>
      </c>
      <c r="I7" s="9">
        <f t="shared" ref="I7:I36" si="0">G7*0.9</f>
        <v>0</v>
      </c>
      <c r="O7" s="13" t="s">
        <v>54</v>
      </c>
      <c r="P7" s="14">
        <f>SUM(F37+G37)</f>
        <v>919.2</v>
      </c>
    </row>
    <row r="8" spans="1:16" x14ac:dyDescent="0.25">
      <c r="A8" s="6">
        <v>45719</v>
      </c>
      <c r="B8" s="5" t="s">
        <v>47</v>
      </c>
      <c r="C8" s="3">
        <v>0</v>
      </c>
      <c r="D8" s="7"/>
      <c r="E8" s="8">
        <v>0</v>
      </c>
      <c r="F8" s="28">
        <v>0</v>
      </c>
      <c r="G8" s="30">
        <v>0</v>
      </c>
      <c r="H8" s="31">
        <f>F8*0.85</f>
        <v>0</v>
      </c>
      <c r="I8" s="9">
        <f t="shared" si="0"/>
        <v>0</v>
      </c>
      <c r="O8" s="20" t="s">
        <v>18</v>
      </c>
      <c r="P8" s="21">
        <f>SUM(P5+P4)</f>
        <v>2919.95</v>
      </c>
    </row>
    <row r="9" spans="1:16" x14ac:dyDescent="0.25">
      <c r="A9" s="6">
        <v>45720</v>
      </c>
      <c r="B9" s="5" t="s">
        <v>47</v>
      </c>
      <c r="C9" s="3">
        <v>0</v>
      </c>
      <c r="D9" s="7"/>
      <c r="E9" s="8">
        <v>0</v>
      </c>
      <c r="F9" s="28">
        <v>0</v>
      </c>
      <c r="G9" s="30">
        <v>0</v>
      </c>
      <c r="H9" s="31">
        <f>F9*0.85</f>
        <v>0</v>
      </c>
      <c r="I9" s="9">
        <f t="shared" si="0"/>
        <v>0</v>
      </c>
      <c r="O9" s="22" t="s">
        <v>21</v>
      </c>
      <c r="P9" s="33">
        <f>SUM(H6:H36)</f>
        <v>781.31999999999994</v>
      </c>
    </row>
    <row r="10" spans="1:16" x14ac:dyDescent="0.25">
      <c r="A10" s="6">
        <v>45721</v>
      </c>
      <c r="B10" s="5" t="s">
        <v>47</v>
      </c>
      <c r="C10" s="3">
        <v>0</v>
      </c>
      <c r="D10" s="7"/>
      <c r="E10" s="8">
        <v>0</v>
      </c>
      <c r="F10" s="28">
        <v>0</v>
      </c>
      <c r="G10" s="30">
        <v>0</v>
      </c>
      <c r="H10" s="31">
        <f>F10*0.85</f>
        <v>0</v>
      </c>
      <c r="I10" s="9">
        <f t="shared" si="0"/>
        <v>0</v>
      </c>
      <c r="O10" s="23" t="s">
        <v>22</v>
      </c>
      <c r="P10" s="9">
        <f>SUM(I6:I36)</f>
        <v>0</v>
      </c>
    </row>
    <row r="11" spans="1:16" x14ac:dyDescent="0.25">
      <c r="A11" s="6">
        <v>45722</v>
      </c>
      <c r="B11" s="5" t="s">
        <v>47</v>
      </c>
      <c r="C11" s="3">
        <v>0</v>
      </c>
      <c r="D11" s="7"/>
      <c r="E11" s="8">
        <v>0</v>
      </c>
      <c r="F11" s="28">
        <v>0</v>
      </c>
      <c r="G11" s="30">
        <v>0</v>
      </c>
      <c r="H11" s="31">
        <f t="shared" ref="H11:H36" si="1">F11*0.85</f>
        <v>0</v>
      </c>
      <c r="I11" s="9">
        <f t="shared" si="0"/>
        <v>0</v>
      </c>
      <c r="O11" s="24" t="s">
        <v>24</v>
      </c>
      <c r="P11" s="34">
        <f>P9+P10</f>
        <v>781.31999999999994</v>
      </c>
    </row>
    <row r="12" spans="1:16" ht="19.5" customHeight="1" x14ac:dyDescent="0.25">
      <c r="A12" s="6">
        <v>45723</v>
      </c>
      <c r="B12" s="5" t="s">
        <v>246</v>
      </c>
      <c r="C12" s="3">
        <v>170</v>
      </c>
      <c r="D12" s="7" t="s">
        <v>34</v>
      </c>
      <c r="E12" s="8">
        <v>20</v>
      </c>
      <c r="F12" s="28">
        <v>0</v>
      </c>
      <c r="G12" s="30">
        <v>0</v>
      </c>
      <c r="H12" s="31">
        <f t="shared" si="1"/>
        <v>0</v>
      </c>
      <c r="I12" s="9">
        <f t="shared" si="0"/>
        <v>0</v>
      </c>
      <c r="O12" s="25" t="s">
        <v>67</v>
      </c>
      <c r="P12" s="26">
        <f>SUM(P8+P11)</f>
        <v>3701.2699999999995</v>
      </c>
    </row>
    <row r="13" spans="1:16" x14ac:dyDescent="0.25">
      <c r="A13" s="6">
        <v>45724</v>
      </c>
      <c r="B13" s="5" t="s">
        <v>247</v>
      </c>
      <c r="C13" s="3">
        <v>170</v>
      </c>
      <c r="D13" s="7" t="s">
        <v>112</v>
      </c>
      <c r="E13" s="8">
        <v>20</v>
      </c>
      <c r="F13" s="28">
        <v>101.2</v>
      </c>
      <c r="G13" s="30">
        <v>0</v>
      </c>
      <c r="H13" s="31">
        <f t="shared" si="1"/>
        <v>86.02</v>
      </c>
      <c r="I13" s="9">
        <f t="shared" si="0"/>
        <v>0</v>
      </c>
    </row>
    <row r="14" spans="1:16" x14ac:dyDescent="0.25">
      <c r="A14" s="6">
        <v>45725</v>
      </c>
      <c r="B14" s="5" t="s">
        <v>47</v>
      </c>
      <c r="C14" s="3">
        <v>0</v>
      </c>
      <c r="D14" s="7"/>
      <c r="E14" s="8">
        <v>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45726</v>
      </c>
      <c r="B15" s="5" t="s">
        <v>184</v>
      </c>
      <c r="C15" s="3">
        <v>190</v>
      </c>
      <c r="D15" s="7" t="s">
        <v>34</v>
      </c>
      <c r="E15" s="8">
        <v>20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45727</v>
      </c>
      <c r="B16" s="5" t="s">
        <v>248</v>
      </c>
      <c r="C16" s="3">
        <v>100</v>
      </c>
      <c r="D16" s="7" t="s">
        <v>112</v>
      </c>
      <c r="E16" s="8">
        <v>20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45728</v>
      </c>
      <c r="B17" s="5" t="s">
        <v>249</v>
      </c>
      <c r="C17" s="3">
        <v>200</v>
      </c>
      <c r="D17" s="7" t="s">
        <v>34</v>
      </c>
      <c r="E17" s="8">
        <v>20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45729</v>
      </c>
      <c r="B18" s="5" t="s">
        <v>148</v>
      </c>
      <c r="C18" s="3">
        <v>100</v>
      </c>
      <c r="D18" s="7" t="s">
        <v>112</v>
      </c>
      <c r="E18" s="8">
        <v>20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45730</v>
      </c>
      <c r="B19" s="5" t="s">
        <v>116</v>
      </c>
      <c r="C19" s="3">
        <v>100</v>
      </c>
      <c r="D19" s="7" t="s">
        <v>220</v>
      </c>
      <c r="E19" s="8">
        <v>6.65</v>
      </c>
      <c r="F19" s="28">
        <v>130</v>
      </c>
      <c r="G19" s="30">
        <v>0</v>
      </c>
      <c r="H19" s="31">
        <f t="shared" si="1"/>
        <v>110.5</v>
      </c>
      <c r="I19" s="9">
        <f t="shared" si="0"/>
        <v>0</v>
      </c>
    </row>
    <row r="20" spans="1:9" x14ac:dyDescent="0.25">
      <c r="A20" s="6">
        <v>45731</v>
      </c>
      <c r="B20" s="5" t="s">
        <v>250</v>
      </c>
      <c r="C20" s="3">
        <v>170</v>
      </c>
      <c r="D20" s="7" t="s">
        <v>220</v>
      </c>
      <c r="E20" s="8">
        <v>6.65</v>
      </c>
      <c r="F20" s="28">
        <v>130</v>
      </c>
      <c r="G20" s="30">
        <v>0</v>
      </c>
      <c r="H20" s="31">
        <f t="shared" si="1"/>
        <v>110.5</v>
      </c>
      <c r="I20" s="9">
        <f t="shared" si="0"/>
        <v>0</v>
      </c>
    </row>
    <row r="21" spans="1:9" x14ac:dyDescent="0.25">
      <c r="A21" s="6">
        <v>45732</v>
      </c>
      <c r="B21" s="5" t="s">
        <v>163</v>
      </c>
      <c r="C21" s="3">
        <v>0</v>
      </c>
      <c r="D21" s="7"/>
      <c r="E21" s="8">
        <v>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45733</v>
      </c>
      <c r="B22" s="5" t="s">
        <v>170</v>
      </c>
      <c r="C22" s="3">
        <v>70</v>
      </c>
      <c r="D22" s="7" t="s">
        <v>220</v>
      </c>
      <c r="E22" s="8">
        <v>6.65</v>
      </c>
      <c r="F22" s="28">
        <v>120</v>
      </c>
      <c r="G22" s="30">
        <v>0</v>
      </c>
      <c r="H22" s="31">
        <f t="shared" si="1"/>
        <v>102</v>
      </c>
      <c r="I22" s="9">
        <f t="shared" si="0"/>
        <v>0</v>
      </c>
    </row>
    <row r="23" spans="1:9" x14ac:dyDescent="0.25">
      <c r="A23" s="6">
        <v>45734</v>
      </c>
      <c r="B23" s="5" t="s">
        <v>47</v>
      </c>
      <c r="C23" s="3">
        <v>0</v>
      </c>
      <c r="D23" s="7"/>
      <c r="E23" s="8">
        <v>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45735</v>
      </c>
      <c r="B24" s="5" t="s">
        <v>251</v>
      </c>
      <c r="C24" s="3">
        <v>330</v>
      </c>
      <c r="D24" s="7" t="s">
        <v>112</v>
      </c>
      <c r="E24" s="8">
        <v>20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45736</v>
      </c>
      <c r="B25" s="5" t="s">
        <v>149</v>
      </c>
      <c r="C25" s="3">
        <v>70</v>
      </c>
      <c r="D25" s="7" t="s">
        <v>112</v>
      </c>
      <c r="E25" s="8">
        <v>20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45737</v>
      </c>
      <c r="B26" s="5" t="s">
        <v>116</v>
      </c>
      <c r="C26" s="3">
        <v>100</v>
      </c>
      <c r="D26" s="7"/>
      <c r="E26" s="8">
        <v>0</v>
      </c>
      <c r="F26" s="28">
        <v>76</v>
      </c>
      <c r="G26" s="30">
        <v>0</v>
      </c>
      <c r="H26" s="31">
        <f t="shared" si="1"/>
        <v>64.599999999999994</v>
      </c>
      <c r="I26" s="9">
        <f t="shared" si="0"/>
        <v>0</v>
      </c>
    </row>
    <row r="27" spans="1:9" x14ac:dyDescent="0.25">
      <c r="A27" s="6">
        <v>45738</v>
      </c>
      <c r="B27" s="5" t="s">
        <v>47</v>
      </c>
      <c r="C27" s="3">
        <v>0</v>
      </c>
      <c r="D27" s="7"/>
      <c r="E27" s="8">
        <v>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45739</v>
      </c>
      <c r="B28" s="5" t="s">
        <v>47</v>
      </c>
      <c r="C28" s="3">
        <v>0</v>
      </c>
      <c r="D28" s="7"/>
      <c r="E28" s="8">
        <v>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45740</v>
      </c>
      <c r="B29" s="5" t="s">
        <v>148</v>
      </c>
      <c r="C29" s="3">
        <v>100</v>
      </c>
      <c r="D29" s="7" t="s">
        <v>34</v>
      </c>
      <c r="E29" s="8">
        <v>20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45741</v>
      </c>
      <c r="B30" s="5" t="s">
        <v>215</v>
      </c>
      <c r="C30" s="3">
        <v>170</v>
      </c>
      <c r="D30" s="7" t="s">
        <v>34</v>
      </c>
      <c r="E30" s="8">
        <v>20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45742</v>
      </c>
      <c r="B31" s="5" t="s">
        <v>149</v>
      </c>
      <c r="C31" s="3">
        <v>70</v>
      </c>
      <c r="D31" s="7" t="s">
        <v>34</v>
      </c>
      <c r="E31" s="8">
        <v>20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45743</v>
      </c>
      <c r="B32" s="5" t="s">
        <v>252</v>
      </c>
      <c r="C32" s="3">
        <v>220</v>
      </c>
      <c r="D32" s="7" t="s">
        <v>112</v>
      </c>
      <c r="E32" s="8">
        <v>20</v>
      </c>
      <c r="F32" s="28">
        <v>101.2</v>
      </c>
      <c r="G32" s="30">
        <v>0</v>
      </c>
      <c r="H32" s="31">
        <f t="shared" si="1"/>
        <v>86.02</v>
      </c>
      <c r="I32" s="9">
        <f t="shared" si="0"/>
        <v>0</v>
      </c>
    </row>
    <row r="33" spans="1:9" x14ac:dyDescent="0.25">
      <c r="A33" s="6">
        <v>45744</v>
      </c>
      <c r="B33" s="5" t="s">
        <v>47</v>
      </c>
      <c r="C33" s="3">
        <v>0</v>
      </c>
      <c r="D33" s="7"/>
      <c r="E33" s="8">
        <v>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45745</v>
      </c>
      <c r="B34" s="5" t="s">
        <v>253</v>
      </c>
      <c r="C34" s="3">
        <v>170</v>
      </c>
      <c r="D34" s="7" t="s">
        <v>112</v>
      </c>
      <c r="E34" s="8">
        <v>20</v>
      </c>
      <c r="F34" s="28">
        <v>140.80000000000001</v>
      </c>
      <c r="G34" s="30">
        <v>0</v>
      </c>
      <c r="H34" s="31">
        <f t="shared" si="1"/>
        <v>119.68</v>
      </c>
      <c r="I34" s="9">
        <f t="shared" si="0"/>
        <v>0</v>
      </c>
    </row>
    <row r="35" spans="1:9" x14ac:dyDescent="0.25">
      <c r="A35" s="6">
        <v>45746</v>
      </c>
      <c r="B35" s="5" t="s">
        <v>47</v>
      </c>
      <c r="C35" s="3">
        <v>0</v>
      </c>
      <c r="D35" s="7"/>
      <c r="E35" s="8">
        <v>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6">
        <v>45747</v>
      </c>
      <c r="B36" s="5" t="s">
        <v>147</v>
      </c>
      <c r="C36" s="3">
        <v>140</v>
      </c>
      <c r="D36" s="7"/>
      <c r="E36" s="8">
        <v>0</v>
      </c>
      <c r="F36" s="28">
        <v>120</v>
      </c>
      <c r="G36" s="30">
        <v>0</v>
      </c>
      <c r="H36" s="31">
        <f t="shared" si="1"/>
        <v>102</v>
      </c>
      <c r="I36" s="9">
        <f t="shared" si="0"/>
        <v>0</v>
      </c>
    </row>
    <row r="37" spans="1:9" x14ac:dyDescent="0.25">
      <c r="A37" s="36"/>
      <c r="B37" s="36"/>
      <c r="C37" s="36"/>
      <c r="D37" s="36"/>
      <c r="E37" s="36"/>
      <c r="F37" s="37">
        <f>SUM(F6:F36)</f>
        <v>919.2</v>
      </c>
      <c r="G37" s="37">
        <f>SUM(G6:G36)</f>
        <v>0</v>
      </c>
      <c r="H37" s="36"/>
      <c r="I37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39997558519241921"/>
  </sheetPr>
  <dimension ref="A1:P36"/>
  <sheetViews>
    <sheetView workbookViewId="0">
      <selection sqref="A1:P36"/>
    </sheetView>
  </sheetViews>
  <sheetFormatPr defaultRowHeight="15" x14ac:dyDescent="0.25"/>
  <cols>
    <col min="1" max="1" width="14.7109375" customWidth="1"/>
    <col min="2" max="2" width="57.140625" customWidth="1"/>
    <col min="3" max="3" width="13.7109375" customWidth="1"/>
    <col min="4" max="4" width="19.7109375" customWidth="1"/>
    <col min="5" max="5" width="23.140625" customWidth="1"/>
    <col min="6" max="6" width="29.7109375" customWidth="1"/>
    <col min="7" max="7" width="39.140625" customWidth="1"/>
    <col min="8" max="8" width="44.140625" customWidth="1"/>
    <col min="9" max="9" width="35.7109375" customWidth="1"/>
    <col min="15" max="15" width="59" customWidth="1"/>
    <col min="16" max="16" width="38.710937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18.75" x14ac:dyDescent="0.3">
      <c r="A4" s="81" t="s">
        <v>254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SUM(C6:C35)</f>
        <v>3100</v>
      </c>
    </row>
    <row r="5" spans="1:16" ht="19.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SUM(E6:E35)</f>
        <v>280</v>
      </c>
    </row>
    <row r="6" spans="1:16" ht="14.25" customHeight="1" x14ac:dyDescent="0.25">
      <c r="A6" s="6">
        <v>45748</v>
      </c>
      <c r="B6" s="5" t="s">
        <v>255</v>
      </c>
      <c r="C6" s="3">
        <v>0</v>
      </c>
      <c r="D6" s="7" t="s">
        <v>255</v>
      </c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45749</v>
      </c>
      <c r="B7" s="5" t="s">
        <v>252</v>
      </c>
      <c r="C7" s="3">
        <v>220</v>
      </c>
      <c r="D7" s="7" t="s">
        <v>112</v>
      </c>
      <c r="E7" s="8">
        <v>20</v>
      </c>
      <c r="F7" s="28">
        <v>0</v>
      </c>
      <c r="G7" s="30">
        <v>0</v>
      </c>
      <c r="H7" s="31">
        <v>0</v>
      </c>
      <c r="I7" s="9">
        <f t="shared" ref="I7:I35" si="0">G7*0.9</f>
        <v>0</v>
      </c>
      <c r="O7" s="13" t="s">
        <v>54</v>
      </c>
      <c r="P7" s="14">
        <f>SUM(F36+G36)</f>
        <v>489.4</v>
      </c>
    </row>
    <row r="8" spans="1:16" x14ac:dyDescent="0.25">
      <c r="A8" s="6">
        <v>45750</v>
      </c>
      <c r="B8" s="5" t="s">
        <v>223</v>
      </c>
      <c r="C8" s="3">
        <v>170</v>
      </c>
      <c r="D8" s="7"/>
      <c r="E8" s="8">
        <v>0</v>
      </c>
      <c r="F8" s="28">
        <v>80</v>
      </c>
      <c r="G8" s="30">
        <v>0</v>
      </c>
      <c r="H8" s="31">
        <f t="shared" ref="H8:H35" si="1">F8*0.85</f>
        <v>68</v>
      </c>
      <c r="I8" s="9">
        <f t="shared" si="0"/>
        <v>0</v>
      </c>
      <c r="O8" s="20" t="s">
        <v>18</v>
      </c>
      <c r="P8" s="21">
        <f>SUM(P5+P4)</f>
        <v>3380</v>
      </c>
    </row>
    <row r="9" spans="1:16" x14ac:dyDescent="0.25">
      <c r="A9" s="6">
        <v>45751</v>
      </c>
      <c r="B9" s="5" t="s">
        <v>163</v>
      </c>
      <c r="C9" s="3">
        <v>0</v>
      </c>
      <c r="D9" s="7"/>
      <c r="E9" s="8">
        <v>0</v>
      </c>
      <c r="F9" s="28">
        <v>0</v>
      </c>
      <c r="G9" s="30">
        <v>0</v>
      </c>
      <c r="H9" s="31">
        <f t="shared" si="1"/>
        <v>0</v>
      </c>
      <c r="I9" s="9">
        <f t="shared" si="0"/>
        <v>0</v>
      </c>
      <c r="O9" s="22" t="s">
        <v>21</v>
      </c>
      <c r="P9" s="33">
        <f>SUM(H6:H35)</f>
        <v>338.64</v>
      </c>
    </row>
    <row r="10" spans="1:16" x14ac:dyDescent="0.25">
      <c r="A10" s="6">
        <v>45752</v>
      </c>
      <c r="B10" s="5" t="s">
        <v>163</v>
      </c>
      <c r="C10" s="3">
        <v>0</v>
      </c>
      <c r="D10" s="7"/>
      <c r="E10" s="8">
        <v>0</v>
      </c>
      <c r="F10" s="28">
        <v>0</v>
      </c>
      <c r="G10" s="30">
        <v>0</v>
      </c>
      <c r="H10" s="31">
        <f t="shared" si="1"/>
        <v>0</v>
      </c>
      <c r="I10" s="9">
        <f t="shared" si="0"/>
        <v>0</v>
      </c>
      <c r="O10" s="23" t="s">
        <v>22</v>
      </c>
      <c r="P10" s="9">
        <f>SUM(I6:I35)</f>
        <v>81.900000000000006</v>
      </c>
    </row>
    <row r="11" spans="1:16" x14ac:dyDescent="0.25">
      <c r="A11" s="6">
        <v>45753</v>
      </c>
      <c r="B11" s="5" t="s">
        <v>163</v>
      </c>
      <c r="C11" s="3">
        <v>0</v>
      </c>
      <c r="D11" s="7"/>
      <c r="E11" s="8">
        <v>0</v>
      </c>
      <c r="F11" s="28">
        <v>0</v>
      </c>
      <c r="G11" s="30">
        <v>0</v>
      </c>
      <c r="H11" s="31">
        <f t="shared" si="1"/>
        <v>0</v>
      </c>
      <c r="I11" s="9">
        <f t="shared" si="0"/>
        <v>0</v>
      </c>
      <c r="O11" s="24" t="s">
        <v>24</v>
      </c>
      <c r="P11" s="34">
        <f>P9+P10</f>
        <v>420.53999999999996</v>
      </c>
    </row>
    <row r="12" spans="1:16" ht="16.5" customHeight="1" x14ac:dyDescent="0.25">
      <c r="A12" s="6">
        <v>45754</v>
      </c>
      <c r="B12" s="5" t="s">
        <v>256</v>
      </c>
      <c r="C12" s="3">
        <v>100</v>
      </c>
      <c r="D12" s="7"/>
      <c r="E12" s="8">
        <v>0</v>
      </c>
      <c r="F12" s="28">
        <v>99.2</v>
      </c>
      <c r="G12" s="30">
        <v>0</v>
      </c>
      <c r="H12" s="31">
        <f t="shared" si="1"/>
        <v>84.32</v>
      </c>
      <c r="I12" s="9">
        <f t="shared" si="0"/>
        <v>0</v>
      </c>
      <c r="O12" s="25" t="s">
        <v>67</v>
      </c>
      <c r="P12" s="26">
        <f>SUM(P8+P11)</f>
        <v>3800.54</v>
      </c>
    </row>
    <row r="13" spans="1:16" x14ac:dyDescent="0.25">
      <c r="A13" s="6">
        <v>45755</v>
      </c>
      <c r="B13" s="5" t="s">
        <v>215</v>
      </c>
      <c r="C13" s="3">
        <v>170</v>
      </c>
      <c r="D13" s="7" t="s">
        <v>112</v>
      </c>
      <c r="E13" s="8">
        <v>20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45756</v>
      </c>
      <c r="B14" s="5" t="s">
        <v>215</v>
      </c>
      <c r="C14" s="3">
        <v>170</v>
      </c>
      <c r="D14" s="7" t="s">
        <v>112</v>
      </c>
      <c r="E14" s="8">
        <v>20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45757</v>
      </c>
      <c r="B15" s="5" t="s">
        <v>215</v>
      </c>
      <c r="C15" s="3">
        <v>170</v>
      </c>
      <c r="D15" s="7" t="s">
        <v>112</v>
      </c>
      <c r="E15" s="8">
        <v>20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45758</v>
      </c>
      <c r="B16" s="5" t="s">
        <v>257</v>
      </c>
      <c r="C16" s="3">
        <v>310</v>
      </c>
      <c r="D16" s="7" t="s">
        <v>112</v>
      </c>
      <c r="E16" s="8">
        <v>20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45759</v>
      </c>
      <c r="B17" s="5" t="s">
        <v>258</v>
      </c>
      <c r="C17" s="3">
        <v>170</v>
      </c>
      <c r="D17" s="7" t="s">
        <v>112</v>
      </c>
      <c r="E17" s="8">
        <v>20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45760</v>
      </c>
      <c r="B18" s="5" t="s">
        <v>163</v>
      </c>
      <c r="C18" s="3">
        <v>0</v>
      </c>
      <c r="D18" s="7"/>
      <c r="E18" s="8">
        <v>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45761</v>
      </c>
      <c r="B19" s="5" t="s">
        <v>116</v>
      </c>
      <c r="C19" s="3">
        <v>100</v>
      </c>
      <c r="D19" s="7"/>
      <c r="E19" s="8">
        <v>0</v>
      </c>
      <c r="F19" s="28"/>
      <c r="G19" s="30">
        <v>91</v>
      </c>
      <c r="H19" s="31">
        <f t="shared" si="1"/>
        <v>0</v>
      </c>
      <c r="I19" s="9">
        <f t="shared" si="0"/>
        <v>81.900000000000006</v>
      </c>
    </row>
    <row r="20" spans="1:9" x14ac:dyDescent="0.25">
      <c r="A20" s="6">
        <v>45762</v>
      </c>
      <c r="B20" s="5" t="s">
        <v>222</v>
      </c>
      <c r="C20" s="3">
        <v>100</v>
      </c>
      <c r="D20" s="7" t="s">
        <v>112</v>
      </c>
      <c r="E20" s="8">
        <v>20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45763</v>
      </c>
      <c r="B21" s="5" t="s">
        <v>222</v>
      </c>
      <c r="C21" s="3">
        <v>100</v>
      </c>
      <c r="D21" s="7" t="s">
        <v>112</v>
      </c>
      <c r="E21" s="8">
        <v>20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45764</v>
      </c>
      <c r="B22" s="5" t="s">
        <v>163</v>
      </c>
      <c r="C22" s="3">
        <v>0</v>
      </c>
      <c r="D22" s="7"/>
      <c r="E22" s="8">
        <v>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45765</v>
      </c>
      <c r="B23" s="5" t="s">
        <v>163</v>
      </c>
      <c r="C23" s="3">
        <v>0</v>
      </c>
      <c r="D23" s="7"/>
      <c r="E23" s="8">
        <v>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45766</v>
      </c>
      <c r="B24" s="5" t="s">
        <v>215</v>
      </c>
      <c r="C24" s="3">
        <v>170</v>
      </c>
      <c r="D24" s="7" t="s">
        <v>112</v>
      </c>
      <c r="E24" s="8">
        <v>20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45767</v>
      </c>
      <c r="B25" s="5" t="s">
        <v>163</v>
      </c>
      <c r="C25" s="3">
        <v>0</v>
      </c>
      <c r="D25" s="7"/>
      <c r="E25" s="8">
        <v>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45768</v>
      </c>
      <c r="B26" s="5" t="s">
        <v>163</v>
      </c>
      <c r="C26" s="3">
        <v>0</v>
      </c>
      <c r="D26" s="7"/>
      <c r="E26" s="8">
        <v>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45769</v>
      </c>
      <c r="B27" s="5" t="s">
        <v>147</v>
      </c>
      <c r="C27" s="3">
        <v>140</v>
      </c>
      <c r="D27" s="7" t="s">
        <v>112</v>
      </c>
      <c r="E27" s="8">
        <v>20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45770</v>
      </c>
      <c r="B28" s="5" t="s">
        <v>163</v>
      </c>
      <c r="C28" s="3">
        <v>0</v>
      </c>
      <c r="D28" s="7"/>
      <c r="E28" s="8">
        <v>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45771</v>
      </c>
      <c r="B29" s="5" t="s">
        <v>163</v>
      </c>
      <c r="C29" s="3">
        <v>0</v>
      </c>
      <c r="D29" s="7"/>
      <c r="E29" s="8">
        <v>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45772</v>
      </c>
      <c r="B30" s="5" t="s">
        <v>147</v>
      </c>
      <c r="C30" s="3">
        <v>140</v>
      </c>
      <c r="D30" s="7" t="s">
        <v>112</v>
      </c>
      <c r="E30" s="8">
        <v>20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45773</v>
      </c>
      <c r="B31" s="5" t="s">
        <v>187</v>
      </c>
      <c r="C31" s="3">
        <v>200</v>
      </c>
      <c r="D31" s="7"/>
      <c r="E31" s="8">
        <v>0</v>
      </c>
      <c r="F31" s="28">
        <v>99.2</v>
      </c>
      <c r="G31" s="30">
        <v>0</v>
      </c>
      <c r="H31" s="31">
        <f t="shared" si="1"/>
        <v>84.32</v>
      </c>
      <c r="I31" s="9">
        <f t="shared" si="0"/>
        <v>0</v>
      </c>
    </row>
    <row r="32" spans="1:9" x14ac:dyDescent="0.25">
      <c r="A32" s="6">
        <v>45774</v>
      </c>
      <c r="B32" s="5" t="s">
        <v>163</v>
      </c>
      <c r="C32" s="3">
        <v>0</v>
      </c>
      <c r="D32" s="7"/>
      <c r="E32" s="8">
        <v>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45775</v>
      </c>
      <c r="B33" s="5" t="s">
        <v>258</v>
      </c>
      <c r="C33" s="3">
        <v>170</v>
      </c>
      <c r="D33" s="7" t="s">
        <v>112</v>
      </c>
      <c r="E33" s="8">
        <v>20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45776</v>
      </c>
      <c r="B34" s="5" t="s">
        <v>259</v>
      </c>
      <c r="C34" s="3">
        <v>400</v>
      </c>
      <c r="D34" s="7" t="s">
        <v>112</v>
      </c>
      <c r="E34" s="8">
        <v>20</v>
      </c>
      <c r="F34" s="28">
        <v>120</v>
      </c>
      <c r="G34" s="30">
        <v>0</v>
      </c>
      <c r="H34" s="31">
        <f t="shared" si="1"/>
        <v>102</v>
      </c>
      <c r="I34" s="9">
        <f t="shared" si="0"/>
        <v>0</v>
      </c>
    </row>
    <row r="35" spans="1:9" x14ac:dyDescent="0.25">
      <c r="A35" s="6">
        <v>45777</v>
      </c>
      <c r="B35" s="5" t="s">
        <v>116</v>
      </c>
      <c r="C35" s="3">
        <v>100</v>
      </c>
      <c r="D35" s="7" t="s">
        <v>112</v>
      </c>
      <c r="E35" s="8">
        <v>20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36"/>
      <c r="B36" s="36"/>
      <c r="C36" s="36"/>
      <c r="D36" s="36"/>
      <c r="E36" s="36"/>
      <c r="F36" s="37">
        <f>SUM(F6:F35)</f>
        <v>398.4</v>
      </c>
      <c r="G36" s="37">
        <f>SUM(G6:G35)</f>
        <v>91</v>
      </c>
      <c r="H36" s="36"/>
      <c r="I36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P37"/>
  <sheetViews>
    <sheetView workbookViewId="0">
      <selection sqref="A1:P37"/>
    </sheetView>
  </sheetViews>
  <sheetFormatPr defaultRowHeight="15" x14ac:dyDescent="0.25"/>
  <cols>
    <col min="1" max="1" width="11.42578125" customWidth="1"/>
    <col min="2" max="2" width="49.85546875" customWidth="1"/>
    <col min="3" max="3" width="20.28515625" customWidth="1"/>
    <col min="4" max="4" width="19.5703125" customWidth="1"/>
    <col min="5" max="5" width="23" customWidth="1"/>
    <col min="6" max="6" width="23.7109375" customWidth="1"/>
    <col min="7" max="7" width="29" customWidth="1"/>
    <col min="8" max="8" width="37" customWidth="1"/>
    <col min="9" max="9" width="35.28515625" customWidth="1"/>
    <col min="15" max="15" width="45" customWidth="1"/>
    <col min="16" max="16" width="40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18.75" x14ac:dyDescent="0.3">
      <c r="A4" s="81" t="s">
        <v>260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SUM(C6:C36)</f>
        <v>4340</v>
      </c>
    </row>
    <row r="5" spans="1:16" ht="25.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SUM(E6:E36)</f>
        <v>400</v>
      </c>
    </row>
    <row r="6" spans="1:16" ht="17.25" customHeight="1" x14ac:dyDescent="0.25">
      <c r="A6" s="6">
        <v>45778</v>
      </c>
      <c r="B6" s="5" t="s">
        <v>163</v>
      </c>
      <c r="C6" s="3">
        <v>0</v>
      </c>
      <c r="D6" s="7"/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45779</v>
      </c>
      <c r="B7" s="5" t="s">
        <v>207</v>
      </c>
      <c r="C7" s="3">
        <v>100</v>
      </c>
      <c r="D7" s="7" t="s">
        <v>112</v>
      </c>
      <c r="E7" s="8">
        <v>20</v>
      </c>
      <c r="F7" s="28">
        <v>0</v>
      </c>
      <c r="G7" s="30">
        <v>0</v>
      </c>
      <c r="H7" s="31">
        <f>F7*0.85</f>
        <v>0</v>
      </c>
      <c r="I7" s="9">
        <f t="shared" ref="I7:I36" si="0">G7*0.9</f>
        <v>0</v>
      </c>
      <c r="O7" s="13" t="s">
        <v>54</v>
      </c>
      <c r="P7" s="14">
        <f>SUM(F37+G37)</f>
        <v>642.1</v>
      </c>
    </row>
    <row r="8" spans="1:16" x14ac:dyDescent="0.25">
      <c r="A8" s="6">
        <v>45780</v>
      </c>
      <c r="B8" s="5" t="s">
        <v>163</v>
      </c>
      <c r="C8" s="3">
        <v>0</v>
      </c>
      <c r="D8" s="7"/>
      <c r="E8" s="8">
        <v>0</v>
      </c>
      <c r="F8" s="28">
        <v>0</v>
      </c>
      <c r="G8" s="30">
        <v>0</v>
      </c>
      <c r="H8" s="31">
        <f>F8*0.85</f>
        <v>0</v>
      </c>
      <c r="I8" s="9">
        <f t="shared" si="0"/>
        <v>0</v>
      </c>
      <c r="O8" s="20" t="s">
        <v>18</v>
      </c>
      <c r="P8" s="21">
        <f>SUM(P5+P4)</f>
        <v>4740</v>
      </c>
    </row>
    <row r="9" spans="1:16" x14ac:dyDescent="0.25">
      <c r="A9" s="6">
        <v>45781</v>
      </c>
      <c r="B9" s="5" t="s">
        <v>163</v>
      </c>
      <c r="C9" s="3">
        <v>0</v>
      </c>
      <c r="D9" s="7"/>
      <c r="E9" s="8">
        <v>0</v>
      </c>
      <c r="F9" s="28">
        <v>0</v>
      </c>
      <c r="G9" s="30">
        <v>0</v>
      </c>
      <c r="H9" s="31">
        <f>F9*0.85</f>
        <v>0</v>
      </c>
      <c r="I9" s="9">
        <f t="shared" si="0"/>
        <v>0</v>
      </c>
      <c r="O9" s="22" t="s">
        <v>21</v>
      </c>
      <c r="P9" s="33">
        <f>SUM(H6:H36)</f>
        <v>544.93499999999995</v>
      </c>
    </row>
    <row r="10" spans="1:16" x14ac:dyDescent="0.25">
      <c r="A10" s="6">
        <v>45782</v>
      </c>
      <c r="B10" s="5" t="s">
        <v>261</v>
      </c>
      <c r="C10" s="3">
        <v>200</v>
      </c>
      <c r="D10" s="7" t="s">
        <v>112</v>
      </c>
      <c r="E10" s="8">
        <v>20</v>
      </c>
      <c r="F10" s="28">
        <v>0</v>
      </c>
      <c r="G10" s="30">
        <v>0</v>
      </c>
      <c r="H10" s="31">
        <f>F10*0.85</f>
        <v>0</v>
      </c>
      <c r="I10" s="9">
        <f t="shared" si="0"/>
        <v>0</v>
      </c>
      <c r="O10" s="23" t="s">
        <v>22</v>
      </c>
      <c r="P10" s="9">
        <f>SUM(I6:I36)</f>
        <v>0.9</v>
      </c>
    </row>
    <row r="11" spans="1:16" x14ac:dyDescent="0.25">
      <c r="A11" s="6">
        <v>45783</v>
      </c>
      <c r="B11" s="5" t="s">
        <v>252</v>
      </c>
      <c r="C11" s="3">
        <v>220</v>
      </c>
      <c r="D11" s="7" t="s">
        <v>112</v>
      </c>
      <c r="E11" s="8">
        <v>20</v>
      </c>
      <c r="F11" s="28">
        <v>117.6</v>
      </c>
      <c r="G11" s="30">
        <v>0</v>
      </c>
      <c r="H11" s="31">
        <f t="shared" ref="H11:H36" si="1">F11*0.85</f>
        <v>99.96</v>
      </c>
      <c r="I11" s="9">
        <f t="shared" si="0"/>
        <v>0</v>
      </c>
      <c r="O11" s="24" t="s">
        <v>24</v>
      </c>
      <c r="P11" s="34">
        <f>P9+P10</f>
        <v>545.83499999999992</v>
      </c>
    </row>
    <row r="12" spans="1:16" ht="15.75" customHeight="1" x14ac:dyDescent="0.25">
      <c r="A12" s="6">
        <v>45784</v>
      </c>
      <c r="B12" s="5" t="s">
        <v>262</v>
      </c>
      <c r="C12" s="3">
        <v>260</v>
      </c>
      <c r="D12" s="7"/>
      <c r="E12" s="8">
        <v>0</v>
      </c>
      <c r="F12" s="28">
        <v>104.7</v>
      </c>
      <c r="G12" s="30">
        <v>1</v>
      </c>
      <c r="H12" s="31">
        <f t="shared" si="1"/>
        <v>88.995000000000005</v>
      </c>
      <c r="I12" s="9">
        <f t="shared" si="0"/>
        <v>0.9</v>
      </c>
      <c r="O12" s="25" t="s">
        <v>67</v>
      </c>
      <c r="P12" s="26">
        <f>SUM(P8+P11)</f>
        <v>5285.835</v>
      </c>
    </row>
    <row r="13" spans="1:16" x14ac:dyDescent="0.25">
      <c r="A13" s="6">
        <v>45785</v>
      </c>
      <c r="B13" s="5" t="s">
        <v>256</v>
      </c>
      <c r="C13" s="3">
        <v>100</v>
      </c>
      <c r="D13" s="7" t="s">
        <v>112</v>
      </c>
      <c r="E13" s="8">
        <v>20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45786</v>
      </c>
      <c r="B14" s="5" t="s">
        <v>263</v>
      </c>
      <c r="C14" s="3">
        <v>360</v>
      </c>
      <c r="D14" s="7" t="s">
        <v>112</v>
      </c>
      <c r="E14" s="8">
        <v>20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45787</v>
      </c>
      <c r="B15" s="5" t="s">
        <v>264</v>
      </c>
      <c r="C15" s="3">
        <v>240</v>
      </c>
      <c r="D15" s="7" t="s">
        <v>112</v>
      </c>
      <c r="E15" s="8">
        <v>20</v>
      </c>
      <c r="F15" s="28">
        <v>104.4</v>
      </c>
      <c r="G15" s="30">
        <v>0</v>
      </c>
      <c r="H15" s="31">
        <f t="shared" si="1"/>
        <v>88.740000000000009</v>
      </c>
      <c r="I15" s="9">
        <f t="shared" si="0"/>
        <v>0</v>
      </c>
    </row>
    <row r="16" spans="1:16" x14ac:dyDescent="0.25">
      <c r="A16" s="6">
        <v>45788</v>
      </c>
      <c r="B16" s="5" t="s">
        <v>163</v>
      </c>
      <c r="C16" s="3">
        <v>0</v>
      </c>
      <c r="D16" s="7"/>
      <c r="E16" s="8">
        <v>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45789</v>
      </c>
      <c r="B17" s="5" t="s">
        <v>265</v>
      </c>
      <c r="C17" s="3">
        <v>100</v>
      </c>
      <c r="D17" s="7"/>
      <c r="E17" s="8">
        <v>0</v>
      </c>
      <c r="F17" s="28">
        <v>110.8</v>
      </c>
      <c r="G17" s="30">
        <v>0</v>
      </c>
      <c r="H17" s="31">
        <f t="shared" si="1"/>
        <v>94.179999999999993</v>
      </c>
      <c r="I17" s="9">
        <f t="shared" si="0"/>
        <v>0</v>
      </c>
    </row>
    <row r="18" spans="1:9" x14ac:dyDescent="0.25">
      <c r="A18" s="6">
        <v>45790</v>
      </c>
      <c r="B18" s="5" t="s">
        <v>163</v>
      </c>
      <c r="C18" s="3">
        <v>0</v>
      </c>
      <c r="D18" s="7"/>
      <c r="E18" s="8">
        <v>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45791</v>
      </c>
      <c r="B19" s="5" t="s">
        <v>266</v>
      </c>
      <c r="C19" s="3">
        <v>380</v>
      </c>
      <c r="D19" s="7" t="s">
        <v>112</v>
      </c>
      <c r="E19" s="8">
        <v>20</v>
      </c>
      <c r="F19" s="28"/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45792</v>
      </c>
      <c r="B20" s="5" t="s">
        <v>116</v>
      </c>
      <c r="C20" s="3">
        <v>100</v>
      </c>
      <c r="D20" s="7" t="s">
        <v>112</v>
      </c>
      <c r="E20" s="8">
        <v>20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45793</v>
      </c>
      <c r="B21" s="5" t="s">
        <v>214</v>
      </c>
      <c r="C21" s="3">
        <v>200</v>
      </c>
      <c r="D21" s="7" t="s">
        <v>112</v>
      </c>
      <c r="E21" s="8">
        <v>20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45794</v>
      </c>
      <c r="B22" s="5" t="s">
        <v>267</v>
      </c>
      <c r="C22" s="3">
        <v>200</v>
      </c>
      <c r="D22" s="7" t="s">
        <v>112</v>
      </c>
      <c r="E22" s="8">
        <v>20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45795</v>
      </c>
      <c r="B23" s="5" t="s">
        <v>163</v>
      </c>
      <c r="C23" s="3">
        <v>0</v>
      </c>
      <c r="D23" s="7"/>
      <c r="E23" s="8">
        <v>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45796</v>
      </c>
      <c r="B24" s="5" t="s">
        <v>268</v>
      </c>
      <c r="C24" s="3">
        <v>140</v>
      </c>
      <c r="D24" s="7" t="s">
        <v>112</v>
      </c>
      <c r="E24" s="8">
        <v>20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45797</v>
      </c>
      <c r="B25" s="5" t="s">
        <v>187</v>
      </c>
      <c r="C25" s="3">
        <v>200</v>
      </c>
      <c r="D25" s="7" t="s">
        <v>112</v>
      </c>
      <c r="E25" s="8">
        <v>20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45798</v>
      </c>
      <c r="B26" s="5" t="s">
        <v>215</v>
      </c>
      <c r="C26" s="3">
        <v>170</v>
      </c>
      <c r="D26" s="7" t="s">
        <v>112</v>
      </c>
      <c r="E26" s="8">
        <v>20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45799</v>
      </c>
      <c r="B27" s="5" t="s">
        <v>171</v>
      </c>
      <c r="C27" s="3">
        <v>120</v>
      </c>
      <c r="D27" s="7" t="s">
        <v>112</v>
      </c>
      <c r="E27" s="8">
        <v>20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45800</v>
      </c>
      <c r="B28" s="5" t="s">
        <v>269</v>
      </c>
      <c r="C28" s="3">
        <v>170</v>
      </c>
      <c r="D28" s="7" t="s">
        <v>112</v>
      </c>
      <c r="E28" s="8">
        <v>20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45801</v>
      </c>
      <c r="B29" s="5" t="s">
        <v>187</v>
      </c>
      <c r="C29" s="3">
        <v>200</v>
      </c>
      <c r="D29" s="7" t="s">
        <v>112</v>
      </c>
      <c r="E29" s="8">
        <v>20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45802</v>
      </c>
      <c r="B30" s="5" t="s">
        <v>163</v>
      </c>
      <c r="C30" s="3">
        <v>0</v>
      </c>
      <c r="D30" s="7"/>
      <c r="E30" s="8">
        <v>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45803</v>
      </c>
      <c r="B31" s="5" t="s">
        <v>243</v>
      </c>
      <c r="C31" s="3">
        <v>200</v>
      </c>
      <c r="D31" s="7" t="s">
        <v>112</v>
      </c>
      <c r="E31" s="8">
        <v>20</v>
      </c>
      <c r="F31" s="28">
        <v>110.8</v>
      </c>
      <c r="G31" s="30">
        <v>0</v>
      </c>
      <c r="H31" s="31">
        <f t="shared" si="1"/>
        <v>94.179999999999993</v>
      </c>
      <c r="I31" s="9">
        <f t="shared" si="0"/>
        <v>0</v>
      </c>
    </row>
    <row r="32" spans="1:9" x14ac:dyDescent="0.25">
      <c r="A32" s="6">
        <v>45804</v>
      </c>
      <c r="B32" s="5" t="s">
        <v>249</v>
      </c>
      <c r="C32" s="3">
        <v>200</v>
      </c>
      <c r="D32" s="7" t="s">
        <v>112</v>
      </c>
      <c r="E32" s="8">
        <v>20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45805</v>
      </c>
      <c r="B33" s="5" t="s">
        <v>270</v>
      </c>
      <c r="C33" s="3">
        <v>310</v>
      </c>
      <c r="D33" s="7" t="s">
        <v>112</v>
      </c>
      <c r="E33" s="8">
        <v>20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45806</v>
      </c>
      <c r="B34" s="5" t="s">
        <v>163</v>
      </c>
      <c r="C34" s="3">
        <v>0</v>
      </c>
      <c r="D34" s="7"/>
      <c r="E34" s="8">
        <v>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45807</v>
      </c>
      <c r="B35" s="5" t="s">
        <v>271</v>
      </c>
      <c r="C35" s="3">
        <v>100</v>
      </c>
      <c r="D35" s="7" t="s">
        <v>112</v>
      </c>
      <c r="E35" s="8">
        <v>20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6">
        <v>45808</v>
      </c>
      <c r="B36" s="5" t="s">
        <v>228</v>
      </c>
      <c r="C36" s="3">
        <v>70</v>
      </c>
      <c r="D36" s="7"/>
      <c r="E36" s="8">
        <v>0</v>
      </c>
      <c r="F36" s="28">
        <v>92.8</v>
      </c>
      <c r="G36" s="30">
        <v>0</v>
      </c>
      <c r="H36" s="31">
        <f t="shared" si="1"/>
        <v>78.88</v>
      </c>
      <c r="I36" s="9">
        <f t="shared" si="0"/>
        <v>0</v>
      </c>
    </row>
    <row r="37" spans="1:9" x14ac:dyDescent="0.25">
      <c r="A37" s="36"/>
      <c r="B37" s="36"/>
      <c r="C37" s="36"/>
      <c r="D37" s="36"/>
      <c r="E37" s="36"/>
      <c r="F37" s="37">
        <f>SUM(F6:F36)</f>
        <v>641.1</v>
      </c>
      <c r="G37" s="37">
        <f>SUM(G6:G36)</f>
        <v>1</v>
      </c>
      <c r="H37" s="36"/>
      <c r="I37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6"/>
  <sheetViews>
    <sheetView workbookViewId="0">
      <selection sqref="A1:P36"/>
    </sheetView>
  </sheetViews>
  <sheetFormatPr defaultRowHeight="15" x14ac:dyDescent="0.25"/>
  <cols>
    <col min="1" max="1" width="11.85546875" customWidth="1"/>
    <col min="2" max="2" width="51.85546875" customWidth="1"/>
    <col min="3" max="3" width="15" customWidth="1"/>
    <col min="4" max="4" width="18.85546875" customWidth="1"/>
    <col min="5" max="5" width="23.28515625" customWidth="1"/>
    <col min="6" max="6" width="25" customWidth="1"/>
    <col min="7" max="7" width="26" customWidth="1"/>
    <col min="8" max="8" width="37.28515625" customWidth="1"/>
    <col min="9" max="9" width="35" customWidth="1"/>
    <col min="15" max="16" width="46.1406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6.25" customHeight="1" x14ac:dyDescent="0.3">
      <c r="A4" s="81" t="s">
        <v>272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SUM(C6:C35)</f>
        <v>3180</v>
      </c>
    </row>
    <row r="5" spans="1:16" ht="25.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SUM(E6:E35)</f>
        <v>273.2</v>
      </c>
    </row>
    <row r="6" spans="1:16" ht="18.75" customHeight="1" x14ac:dyDescent="0.25">
      <c r="A6" s="6">
        <v>45809</v>
      </c>
      <c r="B6" s="5" t="s">
        <v>47</v>
      </c>
      <c r="C6" s="3">
        <v>0</v>
      </c>
      <c r="D6" s="7"/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45810</v>
      </c>
      <c r="B7" s="5" t="s">
        <v>273</v>
      </c>
      <c r="C7" s="3">
        <v>70</v>
      </c>
      <c r="D7" s="7" t="s">
        <v>112</v>
      </c>
      <c r="E7" s="8">
        <v>20</v>
      </c>
      <c r="F7" s="28">
        <v>0</v>
      </c>
      <c r="G7" s="30">
        <v>0</v>
      </c>
      <c r="H7" s="31">
        <v>0</v>
      </c>
      <c r="I7" s="9">
        <f t="shared" ref="I7:I35" si="0">G7*0.9</f>
        <v>0</v>
      </c>
      <c r="O7" s="13" t="s">
        <v>54</v>
      </c>
      <c r="P7" s="14">
        <f>SUM(F36+G36)</f>
        <v>856.5</v>
      </c>
    </row>
    <row r="8" spans="1:16" x14ac:dyDescent="0.25">
      <c r="A8" s="6">
        <v>45811</v>
      </c>
      <c r="B8" s="5" t="s">
        <v>274</v>
      </c>
      <c r="C8" s="3">
        <v>290</v>
      </c>
      <c r="D8" s="7" t="s">
        <v>112</v>
      </c>
      <c r="E8" s="8">
        <v>20</v>
      </c>
      <c r="F8" s="28">
        <v>0</v>
      </c>
      <c r="G8" s="30">
        <v>0</v>
      </c>
      <c r="H8" s="31">
        <f t="shared" ref="H8:H35" si="1">F8*0.85</f>
        <v>0</v>
      </c>
      <c r="I8" s="9">
        <f t="shared" si="0"/>
        <v>0</v>
      </c>
      <c r="O8" s="20" t="s">
        <v>18</v>
      </c>
      <c r="P8" s="21">
        <f>SUM(P5+P4)</f>
        <v>3453.2</v>
      </c>
    </row>
    <row r="9" spans="1:16" x14ac:dyDescent="0.25">
      <c r="A9" s="6">
        <v>45812</v>
      </c>
      <c r="B9" s="5" t="s">
        <v>47</v>
      </c>
      <c r="C9" s="3">
        <v>0</v>
      </c>
      <c r="D9" s="7"/>
      <c r="E9" s="8">
        <v>0</v>
      </c>
      <c r="F9" s="28">
        <v>0</v>
      </c>
      <c r="G9" s="30">
        <v>0</v>
      </c>
      <c r="H9" s="31">
        <f t="shared" si="1"/>
        <v>0</v>
      </c>
      <c r="I9" s="9">
        <f t="shared" si="0"/>
        <v>0</v>
      </c>
      <c r="O9" s="22" t="s">
        <v>21</v>
      </c>
      <c r="P9" s="33">
        <f>SUM(H6:H35)</f>
        <v>728.02499999999998</v>
      </c>
    </row>
    <row r="10" spans="1:16" x14ac:dyDescent="0.25">
      <c r="A10" s="6">
        <v>45813</v>
      </c>
      <c r="B10" s="5" t="s">
        <v>275</v>
      </c>
      <c r="C10" s="3">
        <v>240</v>
      </c>
      <c r="D10" s="7" t="s">
        <v>112</v>
      </c>
      <c r="E10" s="8">
        <v>20</v>
      </c>
      <c r="F10" s="28">
        <v>0</v>
      </c>
      <c r="G10" s="30">
        <v>0</v>
      </c>
      <c r="H10" s="31">
        <f t="shared" si="1"/>
        <v>0</v>
      </c>
      <c r="I10" s="9">
        <f t="shared" si="0"/>
        <v>0</v>
      </c>
      <c r="O10" s="23" t="s">
        <v>22</v>
      </c>
      <c r="P10" s="9">
        <f>SUM(I6:I35)</f>
        <v>0</v>
      </c>
    </row>
    <row r="11" spans="1:16" x14ac:dyDescent="0.25">
      <c r="A11" s="6">
        <v>45814</v>
      </c>
      <c r="B11" s="5" t="s">
        <v>276</v>
      </c>
      <c r="C11" s="3">
        <v>170</v>
      </c>
      <c r="D11" s="7" t="s">
        <v>112</v>
      </c>
      <c r="E11" s="8">
        <v>20</v>
      </c>
      <c r="F11" s="28">
        <v>0</v>
      </c>
      <c r="G11" s="30">
        <v>0</v>
      </c>
      <c r="H11" s="31">
        <f t="shared" si="1"/>
        <v>0</v>
      </c>
      <c r="I11" s="9">
        <f t="shared" si="0"/>
        <v>0</v>
      </c>
      <c r="O11" s="24" t="s">
        <v>24</v>
      </c>
      <c r="P11" s="34">
        <f>P9+P10</f>
        <v>728.02499999999998</v>
      </c>
    </row>
    <row r="12" spans="1:16" ht="13.5" customHeight="1" x14ac:dyDescent="0.25">
      <c r="A12" s="6">
        <v>45815</v>
      </c>
      <c r="B12" s="5" t="s">
        <v>265</v>
      </c>
      <c r="C12" s="3">
        <v>100</v>
      </c>
      <c r="D12" s="7"/>
      <c r="E12" s="8">
        <v>0</v>
      </c>
      <c r="F12" s="28">
        <v>125.6</v>
      </c>
      <c r="G12" s="30">
        <v>0</v>
      </c>
      <c r="H12" s="31">
        <f t="shared" si="1"/>
        <v>106.75999999999999</v>
      </c>
      <c r="I12" s="9">
        <f t="shared" si="0"/>
        <v>0</v>
      </c>
      <c r="O12" s="25" t="s">
        <v>67</v>
      </c>
      <c r="P12" s="26">
        <f>SUM(P8+P11)</f>
        <v>4181.2249999999995</v>
      </c>
    </row>
    <row r="13" spans="1:16" x14ac:dyDescent="0.25">
      <c r="A13" s="6">
        <v>45816</v>
      </c>
      <c r="B13" s="5" t="s">
        <v>47</v>
      </c>
      <c r="C13" s="3">
        <v>0</v>
      </c>
      <c r="D13" s="7"/>
      <c r="E13" s="8">
        <v>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45817</v>
      </c>
      <c r="B14" s="5" t="s">
        <v>277</v>
      </c>
      <c r="C14" s="3">
        <v>120</v>
      </c>
      <c r="D14" s="7" t="s">
        <v>112</v>
      </c>
      <c r="E14" s="8">
        <v>20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45818</v>
      </c>
      <c r="B15" s="5" t="s">
        <v>47</v>
      </c>
      <c r="C15" s="3">
        <v>0</v>
      </c>
      <c r="D15" s="7"/>
      <c r="E15" s="8">
        <v>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45819</v>
      </c>
      <c r="B16" s="5" t="s">
        <v>223</v>
      </c>
      <c r="C16" s="3">
        <v>170</v>
      </c>
      <c r="D16" s="7" t="s">
        <v>220</v>
      </c>
      <c r="E16" s="8">
        <v>6.6</v>
      </c>
      <c r="F16" s="28">
        <v>225</v>
      </c>
      <c r="G16" s="30">
        <v>0</v>
      </c>
      <c r="H16" s="31">
        <f t="shared" si="1"/>
        <v>191.25</v>
      </c>
      <c r="I16" s="9">
        <f t="shared" si="0"/>
        <v>0</v>
      </c>
    </row>
    <row r="17" spans="1:9" x14ac:dyDescent="0.25">
      <c r="A17" s="6">
        <v>45820</v>
      </c>
      <c r="B17" s="5" t="s">
        <v>47</v>
      </c>
      <c r="C17" s="3">
        <v>0</v>
      </c>
      <c r="D17" s="7"/>
      <c r="E17" s="8">
        <v>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45821</v>
      </c>
      <c r="B18" s="5" t="s">
        <v>278</v>
      </c>
      <c r="C18" s="3">
        <v>310</v>
      </c>
      <c r="D18" s="7" t="s">
        <v>112</v>
      </c>
      <c r="E18" s="8">
        <v>20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45822</v>
      </c>
      <c r="B19" s="5" t="s">
        <v>170</v>
      </c>
      <c r="C19" s="3">
        <v>70</v>
      </c>
      <c r="D19" s="7" t="s">
        <v>112</v>
      </c>
      <c r="E19" s="8">
        <v>20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45823</v>
      </c>
      <c r="B20" s="5" t="s">
        <v>47</v>
      </c>
      <c r="C20" s="3">
        <v>0</v>
      </c>
      <c r="D20" s="7"/>
      <c r="E20" s="8">
        <v>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45824</v>
      </c>
      <c r="B21" s="5" t="s">
        <v>223</v>
      </c>
      <c r="C21" s="3">
        <v>170</v>
      </c>
      <c r="D21" s="7" t="s">
        <v>112</v>
      </c>
      <c r="E21" s="8">
        <v>20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45825</v>
      </c>
      <c r="B22" s="5" t="s">
        <v>47</v>
      </c>
      <c r="C22" s="3">
        <v>0</v>
      </c>
      <c r="D22" s="7"/>
      <c r="E22" s="8">
        <v>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45826</v>
      </c>
      <c r="B23" s="5" t="s">
        <v>276</v>
      </c>
      <c r="C23" s="3">
        <v>170</v>
      </c>
      <c r="D23" s="7"/>
      <c r="E23" s="8">
        <v>0</v>
      </c>
      <c r="F23" s="28">
        <v>72</v>
      </c>
      <c r="G23" s="30">
        <v>0</v>
      </c>
      <c r="H23" s="31">
        <f t="shared" si="1"/>
        <v>61.199999999999996</v>
      </c>
      <c r="I23" s="9">
        <f t="shared" si="0"/>
        <v>0</v>
      </c>
    </row>
    <row r="24" spans="1:9" x14ac:dyDescent="0.25">
      <c r="A24" s="6">
        <v>45827</v>
      </c>
      <c r="B24" s="5" t="s">
        <v>171</v>
      </c>
      <c r="C24" s="3">
        <v>120</v>
      </c>
      <c r="D24" s="7" t="s">
        <v>112</v>
      </c>
      <c r="E24" s="8">
        <v>20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45828</v>
      </c>
      <c r="B25" s="5" t="s">
        <v>47</v>
      </c>
      <c r="C25" s="3">
        <v>0</v>
      </c>
      <c r="D25" s="7"/>
      <c r="E25" s="8">
        <v>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45829</v>
      </c>
      <c r="B26" s="5" t="s">
        <v>279</v>
      </c>
      <c r="C26" s="3">
        <v>70</v>
      </c>
      <c r="D26" s="7"/>
      <c r="E26" s="8">
        <v>0</v>
      </c>
      <c r="F26" s="28">
        <v>124</v>
      </c>
      <c r="G26" s="30">
        <v>0</v>
      </c>
      <c r="H26" s="31">
        <f t="shared" si="1"/>
        <v>105.39999999999999</v>
      </c>
      <c r="I26" s="9">
        <f t="shared" si="0"/>
        <v>0</v>
      </c>
    </row>
    <row r="27" spans="1:9" x14ac:dyDescent="0.25">
      <c r="A27" s="6">
        <v>45830</v>
      </c>
      <c r="B27" s="5" t="s">
        <v>47</v>
      </c>
      <c r="C27" s="3">
        <v>0</v>
      </c>
      <c r="D27" s="7"/>
      <c r="E27" s="8">
        <v>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45831</v>
      </c>
      <c r="B28" s="5" t="s">
        <v>148</v>
      </c>
      <c r="C28" s="3">
        <v>100</v>
      </c>
      <c r="D28" s="7"/>
      <c r="E28" s="8">
        <v>0</v>
      </c>
      <c r="F28" s="28">
        <v>94</v>
      </c>
      <c r="G28" s="30">
        <v>0</v>
      </c>
      <c r="H28" s="31">
        <f t="shared" si="1"/>
        <v>79.899999999999991</v>
      </c>
      <c r="I28" s="9">
        <f t="shared" si="0"/>
        <v>0</v>
      </c>
    </row>
    <row r="29" spans="1:9" x14ac:dyDescent="0.25">
      <c r="A29" s="6">
        <v>45832</v>
      </c>
      <c r="B29" s="5" t="s">
        <v>280</v>
      </c>
      <c r="C29" s="3">
        <v>210</v>
      </c>
      <c r="D29" s="7" t="s">
        <v>112</v>
      </c>
      <c r="E29" s="8">
        <v>20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45833</v>
      </c>
      <c r="B30" s="5" t="s">
        <v>234</v>
      </c>
      <c r="C30" s="3">
        <v>170</v>
      </c>
      <c r="D30" s="7" t="s">
        <v>112</v>
      </c>
      <c r="E30" s="8">
        <v>20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45834</v>
      </c>
      <c r="B31" s="5" t="s">
        <v>281</v>
      </c>
      <c r="C31" s="3">
        <v>240</v>
      </c>
      <c r="D31" s="7" t="s">
        <v>282</v>
      </c>
      <c r="E31" s="8">
        <v>26.6</v>
      </c>
      <c r="F31" s="28">
        <v>111.5</v>
      </c>
      <c r="G31" s="30">
        <v>0</v>
      </c>
      <c r="H31" s="31">
        <f t="shared" si="1"/>
        <v>94.774999999999991</v>
      </c>
      <c r="I31" s="9">
        <f t="shared" si="0"/>
        <v>0</v>
      </c>
    </row>
    <row r="32" spans="1:9" x14ac:dyDescent="0.25">
      <c r="A32" s="6">
        <v>45835</v>
      </c>
      <c r="B32" s="5" t="s">
        <v>252</v>
      </c>
      <c r="C32" s="3">
        <v>220</v>
      </c>
      <c r="D32" s="7" t="s">
        <v>112</v>
      </c>
      <c r="E32" s="8">
        <v>20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45836</v>
      </c>
      <c r="B33" s="5" t="s">
        <v>47</v>
      </c>
      <c r="C33" s="3">
        <v>0</v>
      </c>
      <c r="D33" s="7"/>
      <c r="E33" s="8">
        <v>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45837</v>
      </c>
      <c r="B34" s="5" t="s">
        <v>47</v>
      </c>
      <c r="C34" s="3">
        <v>0</v>
      </c>
      <c r="D34" s="7"/>
      <c r="E34" s="8">
        <v>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45838</v>
      </c>
      <c r="B35" s="5" t="s">
        <v>223</v>
      </c>
      <c r="C35" s="3">
        <v>170</v>
      </c>
      <c r="D35" s="7"/>
      <c r="E35" s="8">
        <v>0</v>
      </c>
      <c r="F35" s="28">
        <v>104.4</v>
      </c>
      <c r="G35" s="30">
        <v>0</v>
      </c>
      <c r="H35" s="31">
        <f t="shared" si="1"/>
        <v>88.740000000000009</v>
      </c>
      <c r="I35" s="9">
        <f t="shared" si="0"/>
        <v>0</v>
      </c>
    </row>
    <row r="36" spans="1:9" x14ac:dyDescent="0.25">
      <c r="A36" s="36"/>
      <c r="B36" s="36"/>
      <c r="C36" s="36"/>
      <c r="D36" s="36"/>
      <c r="E36" s="36"/>
      <c r="F36" s="37">
        <f>SUM(F6:F35)</f>
        <v>856.5</v>
      </c>
      <c r="G36" s="37">
        <f>SUM(G6:G35)</f>
        <v>0</v>
      </c>
      <c r="H36" s="36"/>
      <c r="I36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39997558519241921"/>
  </sheetPr>
  <dimension ref="A1:P37"/>
  <sheetViews>
    <sheetView topLeftCell="F1" workbookViewId="0">
      <selection sqref="A1:I3"/>
    </sheetView>
  </sheetViews>
  <sheetFormatPr defaultRowHeight="15" x14ac:dyDescent="0.25"/>
  <cols>
    <col min="1" max="1" width="12.42578125" customWidth="1"/>
    <col min="2" max="2" width="41" customWidth="1"/>
    <col min="3" max="3" width="15.7109375" customWidth="1"/>
    <col min="4" max="4" width="20.5703125" customWidth="1"/>
    <col min="5" max="5" width="22.7109375" customWidth="1"/>
    <col min="6" max="6" width="24.42578125" customWidth="1"/>
    <col min="7" max="7" width="24.5703125" customWidth="1"/>
    <col min="8" max="8" width="35.85546875" customWidth="1"/>
    <col min="9" max="9" width="36.5703125" customWidth="1"/>
    <col min="15" max="15" width="42.42578125" customWidth="1"/>
    <col min="16" max="16" width="43.57031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21" customHeight="1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6.25" customHeight="1" x14ac:dyDescent="0.3">
      <c r="A4" s="81" t="s">
        <v>283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SUM(C6:C36)</f>
        <v>3800</v>
      </c>
    </row>
    <row r="5" spans="1:16" ht="18.7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SUM(E6:E36)</f>
        <v>240</v>
      </c>
    </row>
    <row r="6" spans="1:16" ht="24" customHeight="1" x14ac:dyDescent="0.25">
      <c r="A6" s="6">
        <v>45839</v>
      </c>
      <c r="B6" s="5" t="s">
        <v>120</v>
      </c>
      <c r="C6" s="3">
        <v>70</v>
      </c>
      <c r="D6" s="7"/>
      <c r="E6" s="8">
        <v>20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45840</v>
      </c>
      <c r="B7" s="5" t="s">
        <v>284</v>
      </c>
      <c r="C7" s="3">
        <v>410</v>
      </c>
      <c r="D7" s="7" t="s">
        <v>112</v>
      </c>
      <c r="E7" s="8">
        <v>20</v>
      </c>
      <c r="F7" s="28">
        <v>88.4</v>
      </c>
      <c r="G7" s="30">
        <v>0</v>
      </c>
      <c r="H7" s="31">
        <f>F7*0.85</f>
        <v>75.14</v>
      </c>
      <c r="I7" s="9">
        <f t="shared" ref="I7:I36" si="0">G7*0.9</f>
        <v>0</v>
      </c>
      <c r="O7" s="13" t="s">
        <v>54</v>
      </c>
      <c r="P7" s="14">
        <f>SUM(F37+G37)</f>
        <v>1282.8</v>
      </c>
    </row>
    <row r="8" spans="1:16" x14ac:dyDescent="0.25">
      <c r="A8" s="6">
        <v>45841</v>
      </c>
      <c r="B8" s="5" t="s">
        <v>148</v>
      </c>
      <c r="C8" s="3">
        <v>100</v>
      </c>
      <c r="D8" s="7" t="s">
        <v>112</v>
      </c>
      <c r="E8" s="8">
        <v>20</v>
      </c>
      <c r="F8" s="28">
        <v>0</v>
      </c>
      <c r="G8" s="30">
        <v>0</v>
      </c>
      <c r="H8" s="31">
        <f>F8*0.85</f>
        <v>0</v>
      </c>
      <c r="I8" s="9">
        <f t="shared" si="0"/>
        <v>0</v>
      </c>
      <c r="O8" s="20" t="s">
        <v>18</v>
      </c>
      <c r="P8" s="21">
        <f>SUM(P5+P4)</f>
        <v>4040</v>
      </c>
    </row>
    <row r="9" spans="1:16" x14ac:dyDescent="0.25">
      <c r="A9" s="6">
        <v>45842</v>
      </c>
      <c r="B9" s="5" t="s">
        <v>148</v>
      </c>
      <c r="C9" s="3">
        <v>100</v>
      </c>
      <c r="D9" s="7"/>
      <c r="E9" s="8">
        <v>0</v>
      </c>
      <c r="F9" s="28">
        <v>116</v>
      </c>
      <c r="G9" s="30">
        <v>0</v>
      </c>
      <c r="H9" s="31">
        <f>F9*0.85</f>
        <v>98.6</v>
      </c>
      <c r="I9" s="9">
        <f t="shared" si="0"/>
        <v>0</v>
      </c>
      <c r="O9" s="22" t="s">
        <v>21</v>
      </c>
      <c r="P9" s="33">
        <f>SUM(H6:H36)</f>
        <v>1090.3800000000001</v>
      </c>
    </row>
    <row r="10" spans="1:16" x14ac:dyDescent="0.25">
      <c r="A10" s="6">
        <v>45843</v>
      </c>
      <c r="B10" s="5" t="s">
        <v>116</v>
      </c>
      <c r="C10" s="3">
        <v>100</v>
      </c>
      <c r="D10" s="7"/>
      <c r="E10" s="8">
        <v>0</v>
      </c>
      <c r="F10" s="28">
        <v>120</v>
      </c>
      <c r="G10" s="30">
        <v>0</v>
      </c>
      <c r="H10" s="31">
        <f>F10*0.85</f>
        <v>102</v>
      </c>
      <c r="I10" s="9">
        <f t="shared" si="0"/>
        <v>0</v>
      </c>
      <c r="O10" s="23" t="s">
        <v>22</v>
      </c>
      <c r="P10" s="9">
        <f>SUM(I6:I36)</f>
        <v>0</v>
      </c>
    </row>
    <row r="11" spans="1:16" x14ac:dyDescent="0.25">
      <c r="A11" s="6">
        <v>45844</v>
      </c>
      <c r="B11" s="5" t="s">
        <v>163</v>
      </c>
      <c r="C11" s="3">
        <v>0</v>
      </c>
      <c r="D11" s="7"/>
      <c r="E11" s="8">
        <v>0</v>
      </c>
      <c r="F11" s="28">
        <v>0</v>
      </c>
      <c r="G11" s="30">
        <v>0</v>
      </c>
      <c r="H11" s="31">
        <f t="shared" ref="H11:H36" si="1">F11*0.85</f>
        <v>0</v>
      </c>
      <c r="I11" s="9">
        <f t="shared" si="0"/>
        <v>0</v>
      </c>
      <c r="O11" s="24" t="s">
        <v>24</v>
      </c>
      <c r="P11" s="34">
        <f>P9+P10</f>
        <v>1090.3800000000001</v>
      </c>
    </row>
    <row r="12" spans="1:16" ht="18.75" customHeight="1" x14ac:dyDescent="0.25">
      <c r="A12" s="6">
        <v>45845</v>
      </c>
      <c r="B12" s="5" t="s">
        <v>148</v>
      </c>
      <c r="C12" s="3">
        <v>100</v>
      </c>
      <c r="D12" s="7"/>
      <c r="E12" s="8">
        <v>0</v>
      </c>
      <c r="F12" s="28">
        <v>104.4</v>
      </c>
      <c r="G12" s="30">
        <v>0</v>
      </c>
      <c r="H12" s="31">
        <f t="shared" si="1"/>
        <v>88.740000000000009</v>
      </c>
      <c r="I12" s="9">
        <f t="shared" si="0"/>
        <v>0</v>
      </c>
      <c r="O12" s="25" t="s">
        <v>67</v>
      </c>
      <c r="P12" s="26">
        <f>SUM(P8+P11)</f>
        <v>5130.38</v>
      </c>
    </row>
    <row r="13" spans="1:16" x14ac:dyDescent="0.25">
      <c r="A13" s="6">
        <v>45846</v>
      </c>
      <c r="B13" s="5" t="s">
        <v>285</v>
      </c>
      <c r="C13" s="3">
        <v>200</v>
      </c>
      <c r="D13" s="7"/>
      <c r="E13" s="8">
        <v>0</v>
      </c>
      <c r="F13" s="28">
        <v>134</v>
      </c>
      <c r="G13" s="30">
        <v>0</v>
      </c>
      <c r="H13" s="31">
        <f t="shared" si="1"/>
        <v>113.89999999999999</v>
      </c>
      <c r="I13" s="9">
        <f t="shared" si="0"/>
        <v>0</v>
      </c>
    </row>
    <row r="14" spans="1:16" x14ac:dyDescent="0.25">
      <c r="A14" s="6">
        <v>45847</v>
      </c>
      <c r="B14" s="5" t="s">
        <v>207</v>
      </c>
      <c r="C14" s="3">
        <v>100</v>
      </c>
      <c r="D14" s="7"/>
      <c r="E14" s="8">
        <v>0</v>
      </c>
      <c r="F14" s="28">
        <v>120</v>
      </c>
      <c r="G14" s="30">
        <v>0</v>
      </c>
      <c r="H14" s="31">
        <f t="shared" si="1"/>
        <v>102</v>
      </c>
      <c r="I14" s="9">
        <f t="shared" si="0"/>
        <v>0</v>
      </c>
    </row>
    <row r="15" spans="1:16" x14ac:dyDescent="0.25">
      <c r="A15" s="6">
        <v>45848</v>
      </c>
      <c r="B15" s="5" t="s">
        <v>116</v>
      </c>
      <c r="C15" s="3">
        <v>100</v>
      </c>
      <c r="D15" s="7" t="s">
        <v>112</v>
      </c>
      <c r="E15" s="8">
        <v>20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45849</v>
      </c>
      <c r="B16" s="5" t="s">
        <v>286</v>
      </c>
      <c r="C16" s="3">
        <v>240</v>
      </c>
      <c r="D16" s="7" t="s">
        <v>112</v>
      </c>
      <c r="E16" s="8">
        <v>20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45850</v>
      </c>
      <c r="B17" s="5" t="s">
        <v>163</v>
      </c>
      <c r="C17" s="3">
        <v>0</v>
      </c>
      <c r="D17" s="7"/>
      <c r="E17" s="8">
        <v>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45851</v>
      </c>
      <c r="B18" s="5" t="s">
        <v>163</v>
      </c>
      <c r="C18" s="3">
        <v>0</v>
      </c>
      <c r="D18" s="7"/>
      <c r="E18" s="8">
        <v>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45852</v>
      </c>
      <c r="B19" s="5" t="s">
        <v>287</v>
      </c>
      <c r="C19" s="3">
        <v>480</v>
      </c>
      <c r="D19" s="7"/>
      <c r="E19" s="8">
        <v>0</v>
      </c>
      <c r="F19" s="28">
        <v>256</v>
      </c>
      <c r="G19" s="30">
        <v>0</v>
      </c>
      <c r="H19" s="31">
        <f t="shared" si="1"/>
        <v>217.6</v>
      </c>
      <c r="I19" s="9">
        <f t="shared" si="0"/>
        <v>0</v>
      </c>
    </row>
    <row r="20" spans="1:9" x14ac:dyDescent="0.25">
      <c r="A20" s="6">
        <v>45853</v>
      </c>
      <c r="B20" s="5" t="s">
        <v>163</v>
      </c>
      <c r="C20" s="3">
        <v>0</v>
      </c>
      <c r="D20" s="7"/>
      <c r="E20" s="8">
        <v>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45854</v>
      </c>
      <c r="B21" s="5" t="s">
        <v>215</v>
      </c>
      <c r="C21" s="3">
        <v>170</v>
      </c>
      <c r="D21" s="7" t="s">
        <v>112</v>
      </c>
      <c r="E21" s="8">
        <v>20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45855</v>
      </c>
      <c r="B22" s="5" t="s">
        <v>163</v>
      </c>
      <c r="C22" s="3">
        <v>0</v>
      </c>
      <c r="D22" s="7"/>
      <c r="E22" s="8">
        <v>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45856</v>
      </c>
      <c r="B23" s="5" t="s">
        <v>163</v>
      </c>
      <c r="C23" s="3">
        <v>0</v>
      </c>
      <c r="D23" s="7"/>
      <c r="E23" s="8">
        <v>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45857</v>
      </c>
      <c r="B24" s="5" t="s">
        <v>163</v>
      </c>
      <c r="C24" s="3">
        <v>0</v>
      </c>
      <c r="D24" s="7"/>
      <c r="E24" s="8">
        <v>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45858</v>
      </c>
      <c r="B25" s="5" t="s">
        <v>163</v>
      </c>
      <c r="C25" s="3">
        <v>0</v>
      </c>
      <c r="D25" s="7"/>
      <c r="E25" s="8">
        <v>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45859</v>
      </c>
      <c r="B26" s="5" t="s">
        <v>116</v>
      </c>
      <c r="C26" s="3">
        <v>100</v>
      </c>
      <c r="D26" s="7" t="s">
        <v>112</v>
      </c>
      <c r="E26" s="8">
        <v>20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45860</v>
      </c>
      <c r="B27" s="5" t="s">
        <v>249</v>
      </c>
      <c r="C27" s="3">
        <v>200</v>
      </c>
      <c r="D27" s="7"/>
      <c r="E27" s="8">
        <v>0</v>
      </c>
      <c r="F27" s="28">
        <v>125.6</v>
      </c>
      <c r="G27" s="30">
        <v>0</v>
      </c>
      <c r="H27" s="31">
        <f t="shared" si="1"/>
        <v>106.75999999999999</v>
      </c>
      <c r="I27" s="9">
        <f t="shared" si="0"/>
        <v>0</v>
      </c>
    </row>
    <row r="28" spans="1:9" x14ac:dyDescent="0.25">
      <c r="A28" s="6">
        <v>45861</v>
      </c>
      <c r="B28" s="5" t="s">
        <v>215</v>
      </c>
      <c r="C28" s="3">
        <v>170</v>
      </c>
      <c r="D28" s="7" t="s">
        <v>112</v>
      </c>
      <c r="E28" s="8">
        <v>20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45862</v>
      </c>
      <c r="B29" s="5" t="s">
        <v>288</v>
      </c>
      <c r="C29" s="3">
        <v>240</v>
      </c>
      <c r="D29" s="7" t="s">
        <v>112</v>
      </c>
      <c r="E29" s="8">
        <v>20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45863</v>
      </c>
      <c r="B30" s="5" t="s">
        <v>289</v>
      </c>
      <c r="C30" s="3">
        <v>240</v>
      </c>
      <c r="D30" s="7" t="s">
        <v>112</v>
      </c>
      <c r="E30" s="8">
        <v>20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45864</v>
      </c>
      <c r="B31" s="5" t="s">
        <v>116</v>
      </c>
      <c r="C31" s="3">
        <v>100</v>
      </c>
      <c r="D31" s="7"/>
      <c r="E31" s="8">
        <v>0</v>
      </c>
      <c r="F31" s="28">
        <v>104.4</v>
      </c>
      <c r="G31" s="30">
        <v>0</v>
      </c>
      <c r="H31" s="31">
        <f t="shared" si="1"/>
        <v>88.740000000000009</v>
      </c>
      <c r="I31" s="9">
        <f t="shared" si="0"/>
        <v>0</v>
      </c>
    </row>
    <row r="32" spans="1:9" x14ac:dyDescent="0.25">
      <c r="A32" s="6">
        <v>45865</v>
      </c>
      <c r="B32" s="5" t="s">
        <v>163</v>
      </c>
      <c r="C32" s="3">
        <v>0</v>
      </c>
      <c r="D32" s="7"/>
      <c r="E32" s="8">
        <v>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45866</v>
      </c>
      <c r="B33" s="5" t="s">
        <v>290</v>
      </c>
      <c r="C33" s="3">
        <v>310</v>
      </c>
      <c r="D33" s="7" t="s">
        <v>112</v>
      </c>
      <c r="E33" s="8">
        <v>20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45867</v>
      </c>
      <c r="B34" s="5" t="s">
        <v>116</v>
      </c>
      <c r="C34" s="3">
        <v>100</v>
      </c>
      <c r="D34" s="7"/>
      <c r="E34" s="8">
        <v>0</v>
      </c>
      <c r="F34" s="28">
        <v>114</v>
      </c>
      <c r="G34" s="30">
        <v>0</v>
      </c>
      <c r="H34" s="31">
        <f t="shared" si="1"/>
        <v>96.899999999999991</v>
      </c>
      <c r="I34" s="9">
        <f t="shared" si="0"/>
        <v>0</v>
      </c>
    </row>
    <row r="35" spans="1:9" x14ac:dyDescent="0.25">
      <c r="A35" s="6">
        <v>45868</v>
      </c>
      <c r="B35" s="5" t="s">
        <v>163</v>
      </c>
      <c r="C35" s="3">
        <v>0</v>
      </c>
      <c r="D35" s="7"/>
      <c r="E35" s="8">
        <v>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6">
        <v>45869</v>
      </c>
      <c r="B36" s="5" t="s">
        <v>276</v>
      </c>
      <c r="C36" s="3">
        <v>170</v>
      </c>
      <c r="D36" s="7" t="s">
        <v>112</v>
      </c>
      <c r="E36" s="8">
        <v>20</v>
      </c>
      <c r="F36" s="28">
        <v>0</v>
      </c>
      <c r="G36" s="30">
        <v>0</v>
      </c>
      <c r="H36" s="31">
        <f t="shared" si="1"/>
        <v>0</v>
      </c>
      <c r="I36" s="9">
        <f t="shared" si="0"/>
        <v>0</v>
      </c>
    </row>
    <row r="37" spans="1:9" x14ac:dyDescent="0.25">
      <c r="A37" s="36"/>
      <c r="B37" s="36"/>
      <c r="C37" s="36"/>
      <c r="D37" s="36"/>
      <c r="E37" s="36"/>
      <c r="F37" s="37">
        <f>SUM(F6:F36)</f>
        <v>1282.8</v>
      </c>
      <c r="G37" s="37">
        <f>SUM(G6:G36)</f>
        <v>0</v>
      </c>
      <c r="H37" s="36"/>
      <c r="I37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0.59999389629810485"/>
  </sheetPr>
  <dimension ref="A1:P37"/>
  <sheetViews>
    <sheetView workbookViewId="0">
      <selection sqref="A1:P37"/>
    </sheetView>
  </sheetViews>
  <sheetFormatPr defaultRowHeight="15" x14ac:dyDescent="0.25"/>
  <cols>
    <col min="1" max="1" width="11" customWidth="1"/>
    <col min="2" max="2" width="51.140625" customWidth="1"/>
    <col min="3" max="3" width="16.28515625" customWidth="1"/>
    <col min="4" max="4" width="20.5703125" customWidth="1"/>
    <col min="5" max="5" width="22.28515625" customWidth="1"/>
    <col min="6" max="6" width="23.85546875" customWidth="1"/>
    <col min="7" max="7" width="24.140625" customWidth="1"/>
    <col min="8" max="8" width="34.85546875" customWidth="1"/>
    <col min="9" max="9" width="35.5703125" customWidth="1"/>
    <col min="15" max="15" width="41.7109375" customWidth="1"/>
    <col min="16" max="16" width="23.57031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9.25" customHeight="1" x14ac:dyDescent="0.3">
      <c r="A4" s="81" t="s">
        <v>291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SUM(C6:C36)</f>
        <v>2660</v>
      </c>
    </row>
    <row r="5" spans="1:16" ht="24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SUM(E6:E36)</f>
        <v>160</v>
      </c>
    </row>
    <row r="6" spans="1:16" ht="21.75" customHeight="1" x14ac:dyDescent="0.25">
      <c r="A6" s="6">
        <v>45870</v>
      </c>
      <c r="B6" s="5" t="s">
        <v>47</v>
      </c>
      <c r="C6" s="3">
        <v>0</v>
      </c>
      <c r="D6" s="7"/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45871</v>
      </c>
      <c r="B7" s="5" t="s">
        <v>47</v>
      </c>
      <c r="C7" s="3">
        <v>0</v>
      </c>
      <c r="D7" s="7"/>
      <c r="E7" s="8">
        <v>0</v>
      </c>
      <c r="F7" s="28">
        <v>0</v>
      </c>
      <c r="G7" s="30">
        <v>0</v>
      </c>
      <c r="H7" s="31">
        <f>F7*0.85</f>
        <v>0</v>
      </c>
      <c r="I7" s="9">
        <f t="shared" ref="I7:I36" si="0">G7*0.9</f>
        <v>0</v>
      </c>
      <c r="O7" s="13" t="s">
        <v>54</v>
      </c>
      <c r="P7" s="14">
        <f>SUM(F37+G37)</f>
        <v>1246.2000000000003</v>
      </c>
    </row>
    <row r="8" spans="1:16" x14ac:dyDescent="0.25">
      <c r="A8" s="6">
        <v>45872</v>
      </c>
      <c r="B8" s="5" t="s">
        <v>47</v>
      </c>
      <c r="C8" s="3">
        <v>0</v>
      </c>
      <c r="D8" s="7"/>
      <c r="E8" s="8">
        <v>0</v>
      </c>
      <c r="F8" s="28">
        <v>0</v>
      </c>
      <c r="G8" s="30">
        <v>0</v>
      </c>
      <c r="H8" s="31">
        <f>F8*0.85</f>
        <v>0</v>
      </c>
      <c r="I8" s="9">
        <f t="shared" si="0"/>
        <v>0</v>
      </c>
      <c r="O8" s="20" t="s">
        <v>18</v>
      </c>
      <c r="P8" s="21">
        <f>SUM(P5+P4)</f>
        <v>2820</v>
      </c>
    </row>
    <row r="9" spans="1:16" x14ac:dyDescent="0.25">
      <c r="A9" s="6">
        <v>45873</v>
      </c>
      <c r="B9" s="5" t="s">
        <v>249</v>
      </c>
      <c r="C9" s="3">
        <v>200</v>
      </c>
      <c r="D9" s="7"/>
      <c r="E9" s="8">
        <v>0</v>
      </c>
      <c r="F9" s="28">
        <v>104.4</v>
      </c>
      <c r="G9" s="30">
        <v>0</v>
      </c>
      <c r="H9" s="31">
        <f>F9*0.85</f>
        <v>88.740000000000009</v>
      </c>
      <c r="I9" s="9">
        <f t="shared" si="0"/>
        <v>0</v>
      </c>
      <c r="O9" s="22" t="s">
        <v>21</v>
      </c>
      <c r="P9" s="33">
        <f>SUM(H6:H36)</f>
        <v>1059.27</v>
      </c>
    </row>
    <row r="10" spans="1:16" x14ac:dyDescent="0.25">
      <c r="A10" s="6">
        <v>45874</v>
      </c>
      <c r="B10" s="5" t="s">
        <v>116</v>
      </c>
      <c r="C10" s="3">
        <v>100</v>
      </c>
      <c r="D10" s="7"/>
      <c r="E10" s="8">
        <v>0</v>
      </c>
      <c r="F10" s="28">
        <v>120</v>
      </c>
      <c r="G10" s="30">
        <v>0</v>
      </c>
      <c r="H10" s="31">
        <f>F10*0.85</f>
        <v>102</v>
      </c>
      <c r="I10" s="9">
        <f t="shared" si="0"/>
        <v>0</v>
      </c>
      <c r="O10" s="23" t="s">
        <v>22</v>
      </c>
      <c r="P10" s="9">
        <f>SUM(I6:I36)</f>
        <v>0</v>
      </c>
    </row>
    <row r="11" spans="1:16" x14ac:dyDescent="0.25">
      <c r="A11" s="6">
        <v>45875</v>
      </c>
      <c r="B11" s="5" t="s">
        <v>184</v>
      </c>
      <c r="C11" s="3">
        <v>190</v>
      </c>
      <c r="D11" s="7" t="s">
        <v>112</v>
      </c>
      <c r="E11" s="8">
        <v>20</v>
      </c>
      <c r="F11" s="28">
        <v>0</v>
      </c>
      <c r="G11" s="30">
        <v>0</v>
      </c>
      <c r="H11" s="31">
        <f t="shared" ref="H11:H36" si="1">F11*0.85</f>
        <v>0</v>
      </c>
      <c r="I11" s="9">
        <f t="shared" si="0"/>
        <v>0</v>
      </c>
      <c r="O11" s="24" t="s">
        <v>24</v>
      </c>
      <c r="P11" s="34">
        <f>P9+P10</f>
        <v>1059.27</v>
      </c>
    </row>
    <row r="12" spans="1:16" ht="20.25" customHeight="1" x14ac:dyDescent="0.25">
      <c r="A12" s="6">
        <v>45876</v>
      </c>
      <c r="B12" s="5" t="s">
        <v>47</v>
      </c>
      <c r="C12" s="3">
        <v>0</v>
      </c>
      <c r="D12" s="7"/>
      <c r="E12" s="8">
        <v>0</v>
      </c>
      <c r="F12" s="28">
        <v>0</v>
      </c>
      <c r="G12" s="30">
        <v>0</v>
      </c>
      <c r="H12" s="31">
        <f t="shared" si="1"/>
        <v>0</v>
      </c>
      <c r="I12" s="9">
        <f t="shared" si="0"/>
        <v>0</v>
      </c>
      <c r="O12" s="25" t="s">
        <v>67</v>
      </c>
      <c r="P12" s="26">
        <f>SUM(P8+P11)</f>
        <v>3879.27</v>
      </c>
    </row>
    <row r="13" spans="1:16" x14ac:dyDescent="0.25">
      <c r="A13" s="6">
        <v>45877</v>
      </c>
      <c r="B13" s="5" t="s">
        <v>251</v>
      </c>
      <c r="C13" s="3">
        <v>330</v>
      </c>
      <c r="D13" s="7" t="s">
        <v>112</v>
      </c>
      <c r="E13" s="8">
        <v>20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45878</v>
      </c>
      <c r="B14" s="5" t="s">
        <v>116</v>
      </c>
      <c r="C14" s="3">
        <v>100</v>
      </c>
      <c r="D14" s="7"/>
      <c r="E14" s="8">
        <v>0</v>
      </c>
      <c r="F14" s="28">
        <v>114.2</v>
      </c>
      <c r="G14" s="30">
        <v>0</v>
      </c>
      <c r="H14" s="31">
        <f t="shared" si="1"/>
        <v>97.07</v>
      </c>
      <c r="I14" s="9">
        <f t="shared" si="0"/>
        <v>0</v>
      </c>
    </row>
    <row r="15" spans="1:16" x14ac:dyDescent="0.25">
      <c r="A15" s="6">
        <v>45879</v>
      </c>
      <c r="B15" s="5" t="s">
        <v>47</v>
      </c>
      <c r="C15" s="3">
        <v>0</v>
      </c>
      <c r="D15" s="7"/>
      <c r="E15" s="8">
        <v>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45880</v>
      </c>
      <c r="B16" s="5" t="s">
        <v>148</v>
      </c>
      <c r="C16" s="3">
        <v>100</v>
      </c>
      <c r="D16" s="7" t="s">
        <v>112</v>
      </c>
      <c r="E16" s="8">
        <v>20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45881</v>
      </c>
      <c r="B17" s="5" t="s">
        <v>116</v>
      </c>
      <c r="C17" s="3">
        <v>100</v>
      </c>
      <c r="D17" s="7"/>
      <c r="E17" s="8">
        <v>0</v>
      </c>
      <c r="F17" s="28">
        <v>114.2</v>
      </c>
      <c r="G17" s="30">
        <v>0</v>
      </c>
      <c r="H17" s="31">
        <f t="shared" si="1"/>
        <v>97.07</v>
      </c>
      <c r="I17" s="9">
        <f t="shared" si="0"/>
        <v>0</v>
      </c>
    </row>
    <row r="18" spans="1:9" x14ac:dyDescent="0.25">
      <c r="A18" s="6">
        <v>45882</v>
      </c>
      <c r="B18" s="5" t="s">
        <v>292</v>
      </c>
      <c r="C18" s="3">
        <v>240</v>
      </c>
      <c r="D18" s="7"/>
      <c r="E18" s="8">
        <v>0</v>
      </c>
      <c r="F18" s="28">
        <v>107.4</v>
      </c>
      <c r="G18" s="30">
        <v>0</v>
      </c>
      <c r="H18" s="31">
        <f t="shared" si="1"/>
        <v>91.29</v>
      </c>
      <c r="I18" s="9">
        <f t="shared" si="0"/>
        <v>0</v>
      </c>
    </row>
    <row r="19" spans="1:9" x14ac:dyDescent="0.25">
      <c r="A19" s="6">
        <v>45883</v>
      </c>
      <c r="B19" s="5" t="s">
        <v>47</v>
      </c>
      <c r="C19" s="3">
        <v>0</v>
      </c>
      <c r="D19" s="7"/>
      <c r="E19" s="8">
        <v>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45884</v>
      </c>
      <c r="B20" s="5" t="s">
        <v>47</v>
      </c>
      <c r="C20" s="3">
        <v>0</v>
      </c>
      <c r="D20" s="7"/>
      <c r="E20" s="8">
        <v>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45885</v>
      </c>
      <c r="B21" s="5" t="s">
        <v>148</v>
      </c>
      <c r="C21" s="3">
        <v>100</v>
      </c>
      <c r="D21" s="7"/>
      <c r="E21" s="8">
        <v>0</v>
      </c>
      <c r="F21" s="28">
        <v>114.2</v>
      </c>
      <c r="G21" s="30">
        <v>0</v>
      </c>
      <c r="H21" s="31">
        <f t="shared" si="1"/>
        <v>97.07</v>
      </c>
      <c r="I21" s="9">
        <f t="shared" si="0"/>
        <v>0</v>
      </c>
    </row>
    <row r="22" spans="1:9" x14ac:dyDescent="0.25">
      <c r="A22" s="6">
        <v>45886</v>
      </c>
      <c r="B22" s="5" t="s">
        <v>47</v>
      </c>
      <c r="C22" s="3">
        <v>0</v>
      </c>
      <c r="D22" s="7"/>
      <c r="E22" s="8">
        <v>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45887</v>
      </c>
      <c r="B23" s="5" t="s">
        <v>47</v>
      </c>
      <c r="C23" s="3">
        <v>0</v>
      </c>
      <c r="D23" s="7"/>
      <c r="E23" s="8">
        <v>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45888</v>
      </c>
      <c r="B24" s="5" t="s">
        <v>116</v>
      </c>
      <c r="C24" s="3">
        <v>100</v>
      </c>
      <c r="D24" s="7"/>
      <c r="E24" s="8">
        <v>0</v>
      </c>
      <c r="F24" s="28">
        <v>114</v>
      </c>
      <c r="G24" s="30">
        <v>0</v>
      </c>
      <c r="H24" s="31">
        <f t="shared" si="1"/>
        <v>96.899999999999991</v>
      </c>
      <c r="I24" s="9">
        <f t="shared" si="0"/>
        <v>0</v>
      </c>
    </row>
    <row r="25" spans="1:9" x14ac:dyDescent="0.25">
      <c r="A25" s="6">
        <v>45889</v>
      </c>
      <c r="B25" s="5" t="s">
        <v>293</v>
      </c>
      <c r="C25" s="3">
        <v>120</v>
      </c>
      <c r="D25" s="7" t="s">
        <v>112</v>
      </c>
      <c r="E25" s="8">
        <v>20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45890</v>
      </c>
      <c r="B26" s="5" t="s">
        <v>171</v>
      </c>
      <c r="C26" s="3">
        <v>120</v>
      </c>
      <c r="D26" s="7"/>
      <c r="E26" s="8">
        <v>0</v>
      </c>
      <c r="F26" s="28">
        <v>123.2</v>
      </c>
      <c r="G26" s="30">
        <v>0</v>
      </c>
      <c r="H26" s="31">
        <f t="shared" si="1"/>
        <v>104.72</v>
      </c>
      <c r="I26" s="9">
        <f t="shared" si="0"/>
        <v>0</v>
      </c>
    </row>
    <row r="27" spans="1:9" x14ac:dyDescent="0.25">
      <c r="A27" s="6">
        <v>45891</v>
      </c>
      <c r="B27" s="5" t="s">
        <v>47</v>
      </c>
      <c r="C27" s="3">
        <v>0</v>
      </c>
      <c r="D27" s="7"/>
      <c r="E27" s="8">
        <v>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45892</v>
      </c>
      <c r="B28" s="5" t="s">
        <v>47</v>
      </c>
      <c r="C28" s="3">
        <v>0</v>
      </c>
      <c r="D28" s="7"/>
      <c r="E28" s="8">
        <v>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45893</v>
      </c>
      <c r="B29" s="5" t="s">
        <v>47</v>
      </c>
      <c r="C29" s="3">
        <v>0</v>
      </c>
      <c r="D29" s="7"/>
      <c r="E29" s="8">
        <v>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45894</v>
      </c>
      <c r="B30" s="5" t="s">
        <v>285</v>
      </c>
      <c r="C30" s="3">
        <v>200</v>
      </c>
      <c r="D30" s="7" t="s">
        <v>112</v>
      </c>
      <c r="E30" s="8">
        <v>20</v>
      </c>
      <c r="F30" s="28">
        <v>114.2</v>
      </c>
      <c r="G30" s="30">
        <v>0</v>
      </c>
      <c r="H30" s="31">
        <f t="shared" si="1"/>
        <v>97.07</v>
      </c>
      <c r="I30" s="9">
        <f t="shared" si="0"/>
        <v>0</v>
      </c>
    </row>
    <row r="31" spans="1:9" x14ac:dyDescent="0.25">
      <c r="A31" s="6">
        <v>45895</v>
      </c>
      <c r="B31" s="5" t="s">
        <v>116</v>
      </c>
      <c r="C31" s="3">
        <v>100</v>
      </c>
      <c r="D31" s="7" t="s">
        <v>112</v>
      </c>
      <c r="E31" s="8">
        <v>20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45896</v>
      </c>
      <c r="B32" s="5" t="s">
        <v>149</v>
      </c>
      <c r="C32" s="3">
        <v>70</v>
      </c>
      <c r="D32" s="7"/>
      <c r="E32" s="8">
        <v>0</v>
      </c>
      <c r="F32" s="28">
        <v>116</v>
      </c>
      <c r="G32" s="30">
        <v>0</v>
      </c>
      <c r="H32" s="31">
        <f t="shared" si="1"/>
        <v>98.6</v>
      </c>
      <c r="I32" s="9">
        <f t="shared" si="0"/>
        <v>0</v>
      </c>
    </row>
    <row r="33" spans="1:9" x14ac:dyDescent="0.25">
      <c r="A33" s="6">
        <v>45897</v>
      </c>
      <c r="B33" s="5" t="s">
        <v>294</v>
      </c>
      <c r="C33" s="3">
        <v>170</v>
      </c>
      <c r="D33" s="7" t="s">
        <v>112</v>
      </c>
      <c r="E33" s="8">
        <v>0</v>
      </c>
      <c r="F33" s="28">
        <v>104.4</v>
      </c>
      <c r="G33" s="30">
        <v>0</v>
      </c>
      <c r="H33" s="31">
        <f t="shared" si="1"/>
        <v>88.740000000000009</v>
      </c>
      <c r="I33" s="9">
        <f t="shared" si="0"/>
        <v>0</v>
      </c>
    </row>
    <row r="34" spans="1:9" x14ac:dyDescent="0.25">
      <c r="A34" s="6">
        <v>45898</v>
      </c>
      <c r="B34" s="5" t="s">
        <v>295</v>
      </c>
      <c r="C34" s="3">
        <v>100</v>
      </c>
      <c r="D34" s="7" t="s">
        <v>112</v>
      </c>
      <c r="E34" s="8">
        <v>20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45899</v>
      </c>
      <c r="B35" s="5" t="s">
        <v>296</v>
      </c>
      <c r="C35" s="3">
        <v>220</v>
      </c>
      <c r="D35" s="7" t="s">
        <v>112</v>
      </c>
      <c r="E35" s="8">
        <v>20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6">
        <v>45900</v>
      </c>
      <c r="B36" s="5" t="s">
        <v>47</v>
      </c>
      <c r="C36" s="3">
        <v>0</v>
      </c>
      <c r="D36" s="7"/>
      <c r="E36" s="8">
        <v>0</v>
      </c>
      <c r="F36" s="28">
        <v>0</v>
      </c>
      <c r="G36" s="30">
        <v>0</v>
      </c>
      <c r="H36" s="31">
        <f t="shared" si="1"/>
        <v>0</v>
      </c>
      <c r="I36" s="9">
        <f t="shared" si="0"/>
        <v>0</v>
      </c>
    </row>
    <row r="37" spans="1:9" x14ac:dyDescent="0.25">
      <c r="A37" s="36"/>
      <c r="B37" s="36"/>
      <c r="C37" s="36"/>
      <c r="D37" s="36"/>
      <c r="E37" s="36"/>
      <c r="F37" s="37">
        <f>SUM(F6:F36)</f>
        <v>1246.2000000000003</v>
      </c>
      <c r="G37" s="37">
        <f>SUM(G6:G36)</f>
        <v>0</v>
      </c>
      <c r="H37" s="36"/>
      <c r="I37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6"/>
  <sheetViews>
    <sheetView workbookViewId="0">
      <selection sqref="A1:P36"/>
    </sheetView>
  </sheetViews>
  <sheetFormatPr defaultRowHeight="15" x14ac:dyDescent="0.25"/>
  <cols>
    <col min="1" max="1" width="11.5703125" customWidth="1"/>
    <col min="2" max="2" width="66.85546875" customWidth="1"/>
    <col min="3" max="3" width="14.28515625" customWidth="1"/>
    <col min="4" max="4" width="19.140625" customWidth="1"/>
    <col min="5" max="5" width="21.7109375" customWidth="1"/>
    <col min="6" max="6" width="25" customWidth="1"/>
    <col min="7" max="7" width="25.85546875" customWidth="1"/>
    <col min="8" max="8" width="35.42578125" customWidth="1"/>
    <col min="9" max="9" width="34.85546875" customWidth="1"/>
    <col min="15" max="15" width="31.85546875" customWidth="1"/>
    <col min="16" max="16" width="35.57031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2.5" customHeight="1" x14ac:dyDescent="0.3">
      <c r="A4" s="81" t="s">
        <v>297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SUM(C6:C35)</f>
        <v>3640</v>
      </c>
    </row>
    <row r="5" spans="1:16" ht="28.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SUM(E6:E35)</f>
        <v>17.600000000000001</v>
      </c>
    </row>
    <row r="6" spans="1:16" ht="18" customHeight="1" x14ac:dyDescent="0.25">
      <c r="A6" s="6">
        <v>45901</v>
      </c>
      <c r="B6" s="5" t="s">
        <v>298</v>
      </c>
      <c r="C6" s="3">
        <v>150</v>
      </c>
      <c r="D6" s="7"/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45902</v>
      </c>
      <c r="B7" s="5" t="s">
        <v>299</v>
      </c>
      <c r="C7" s="3">
        <v>120</v>
      </c>
      <c r="D7" s="7"/>
      <c r="E7" s="8">
        <v>0</v>
      </c>
      <c r="F7" s="28">
        <v>0</v>
      </c>
      <c r="G7" s="30">
        <v>0</v>
      </c>
      <c r="H7" s="31">
        <v>0</v>
      </c>
      <c r="I7" s="9">
        <f t="shared" ref="I7:I35" si="0">G7*0.9</f>
        <v>0</v>
      </c>
      <c r="O7" s="13" t="s">
        <v>54</v>
      </c>
      <c r="P7" s="14">
        <f>SUM(F36+G36)</f>
        <v>996.6</v>
      </c>
    </row>
    <row r="8" spans="1:16" x14ac:dyDescent="0.25">
      <c r="A8" s="6">
        <v>45903</v>
      </c>
      <c r="B8" s="5" t="s">
        <v>299</v>
      </c>
      <c r="C8" s="3">
        <v>120</v>
      </c>
      <c r="D8" s="7"/>
      <c r="E8" s="8">
        <v>0</v>
      </c>
      <c r="F8" s="28">
        <v>0</v>
      </c>
      <c r="G8" s="30">
        <v>0</v>
      </c>
      <c r="H8" s="31">
        <f t="shared" ref="H8:H35" si="1">F8*0.85</f>
        <v>0</v>
      </c>
      <c r="I8" s="9">
        <f t="shared" si="0"/>
        <v>0</v>
      </c>
      <c r="O8" s="20" t="s">
        <v>18</v>
      </c>
      <c r="P8" s="21">
        <f>SUM(P5+P4)</f>
        <v>3657.6</v>
      </c>
    </row>
    <row r="9" spans="1:16" x14ac:dyDescent="0.25">
      <c r="A9" s="6">
        <v>45904</v>
      </c>
      <c r="B9" s="5" t="s">
        <v>163</v>
      </c>
      <c r="C9" s="3">
        <v>0</v>
      </c>
      <c r="D9" s="7"/>
      <c r="E9" s="8">
        <v>0</v>
      </c>
      <c r="F9" s="28">
        <v>0</v>
      </c>
      <c r="G9" s="30">
        <v>0</v>
      </c>
      <c r="H9" s="31">
        <f t="shared" si="1"/>
        <v>0</v>
      </c>
      <c r="I9" s="9">
        <f t="shared" si="0"/>
        <v>0</v>
      </c>
      <c r="O9" s="22" t="s">
        <v>21</v>
      </c>
      <c r="P9" s="33">
        <f>SUM(H6:H35)</f>
        <v>847.11</v>
      </c>
    </row>
    <row r="10" spans="1:16" x14ac:dyDescent="0.25">
      <c r="A10" s="6">
        <v>45905</v>
      </c>
      <c r="B10" s="5" t="s">
        <v>163</v>
      </c>
      <c r="C10" s="3">
        <v>0</v>
      </c>
      <c r="D10" s="7"/>
      <c r="E10" s="8">
        <v>0</v>
      </c>
      <c r="F10" s="28">
        <v>0</v>
      </c>
      <c r="G10" s="30">
        <v>0</v>
      </c>
      <c r="H10" s="31">
        <f t="shared" si="1"/>
        <v>0</v>
      </c>
      <c r="I10" s="9">
        <f t="shared" si="0"/>
        <v>0</v>
      </c>
      <c r="O10" s="23" t="s">
        <v>22</v>
      </c>
      <c r="P10" s="9">
        <f>SUM(I6:I35)</f>
        <v>0</v>
      </c>
    </row>
    <row r="11" spans="1:16" x14ac:dyDescent="0.25">
      <c r="A11" s="6">
        <v>45906</v>
      </c>
      <c r="B11" s="5" t="s">
        <v>163</v>
      </c>
      <c r="C11" s="3">
        <v>0</v>
      </c>
      <c r="D11" s="7"/>
      <c r="E11" s="8">
        <v>0</v>
      </c>
      <c r="F11" s="28">
        <v>0</v>
      </c>
      <c r="G11" s="30">
        <v>0</v>
      </c>
      <c r="H11" s="31">
        <f t="shared" si="1"/>
        <v>0</v>
      </c>
      <c r="I11" s="9">
        <f t="shared" si="0"/>
        <v>0</v>
      </c>
      <c r="O11" s="24" t="s">
        <v>24</v>
      </c>
      <c r="P11" s="34">
        <f>P9+P10</f>
        <v>847.11</v>
      </c>
    </row>
    <row r="12" spans="1:16" ht="18.75" customHeight="1" x14ac:dyDescent="0.25">
      <c r="A12" s="6">
        <v>45907</v>
      </c>
      <c r="B12" s="5" t="s">
        <v>163</v>
      </c>
      <c r="C12" s="3">
        <v>0</v>
      </c>
      <c r="D12" s="7"/>
      <c r="E12" s="8">
        <v>0</v>
      </c>
      <c r="F12" s="28">
        <v>0</v>
      </c>
      <c r="G12" s="30">
        <v>0</v>
      </c>
      <c r="H12" s="31">
        <f t="shared" si="1"/>
        <v>0</v>
      </c>
      <c r="I12" s="9">
        <f t="shared" si="0"/>
        <v>0</v>
      </c>
      <c r="O12" s="25" t="s">
        <v>67</v>
      </c>
      <c r="P12" s="26">
        <f>SUM(P8+P11)</f>
        <v>4504.71</v>
      </c>
    </row>
    <row r="13" spans="1:16" x14ac:dyDescent="0.25">
      <c r="A13" s="6">
        <v>45908</v>
      </c>
      <c r="B13" s="5" t="s">
        <v>168</v>
      </c>
      <c r="C13" s="3">
        <v>190</v>
      </c>
      <c r="D13" s="7"/>
      <c r="E13" s="8">
        <v>0</v>
      </c>
      <c r="F13" s="28">
        <v>82</v>
      </c>
      <c r="G13" s="30">
        <v>0</v>
      </c>
      <c r="H13" s="31">
        <f t="shared" si="1"/>
        <v>69.7</v>
      </c>
      <c r="I13" s="9">
        <f t="shared" si="0"/>
        <v>0</v>
      </c>
    </row>
    <row r="14" spans="1:16" x14ac:dyDescent="0.25">
      <c r="A14" s="6">
        <v>45909</v>
      </c>
      <c r="B14" s="5" t="s">
        <v>163</v>
      </c>
      <c r="C14" s="3">
        <v>0</v>
      </c>
      <c r="D14" s="7"/>
      <c r="E14" s="8">
        <v>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45910</v>
      </c>
      <c r="B15" s="5" t="s">
        <v>300</v>
      </c>
      <c r="C15" s="3">
        <v>150</v>
      </c>
      <c r="D15" s="7"/>
      <c r="E15" s="8">
        <v>0</v>
      </c>
      <c r="F15" s="28">
        <v>70</v>
      </c>
      <c r="G15" s="30">
        <v>0</v>
      </c>
      <c r="H15" s="31">
        <f t="shared" si="1"/>
        <v>59.5</v>
      </c>
      <c r="I15" s="9">
        <f t="shared" si="0"/>
        <v>0</v>
      </c>
    </row>
    <row r="16" spans="1:16" x14ac:dyDescent="0.25">
      <c r="A16" s="6">
        <v>45911</v>
      </c>
      <c r="B16" s="5" t="s">
        <v>148</v>
      </c>
      <c r="C16" s="3">
        <v>100</v>
      </c>
      <c r="D16" s="7"/>
      <c r="E16" s="8">
        <v>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45912</v>
      </c>
      <c r="B17" s="5" t="s">
        <v>301</v>
      </c>
      <c r="C17" s="3">
        <v>100</v>
      </c>
      <c r="D17" s="7"/>
      <c r="E17" s="8">
        <v>0</v>
      </c>
      <c r="F17" s="28">
        <v>117</v>
      </c>
      <c r="G17" s="30">
        <v>0</v>
      </c>
      <c r="H17" s="31">
        <f t="shared" si="1"/>
        <v>99.45</v>
      </c>
      <c r="I17" s="9">
        <f t="shared" si="0"/>
        <v>0</v>
      </c>
    </row>
    <row r="18" spans="1:9" x14ac:dyDescent="0.25">
      <c r="A18" s="6">
        <v>45913</v>
      </c>
      <c r="B18" s="5" t="s">
        <v>302</v>
      </c>
      <c r="C18" s="3">
        <v>100</v>
      </c>
      <c r="D18" s="7"/>
      <c r="E18" s="8">
        <v>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45914</v>
      </c>
      <c r="B19" s="5" t="s">
        <v>163</v>
      </c>
      <c r="C19" s="3">
        <v>0</v>
      </c>
      <c r="D19" s="7"/>
      <c r="E19" s="8">
        <v>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45915</v>
      </c>
      <c r="B20" s="5" t="s">
        <v>163</v>
      </c>
      <c r="C20" s="3">
        <v>0</v>
      </c>
      <c r="D20" s="7"/>
      <c r="E20" s="8">
        <v>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45916</v>
      </c>
      <c r="B21" s="5" t="s">
        <v>113</v>
      </c>
      <c r="C21" s="3">
        <v>120</v>
      </c>
      <c r="D21" s="7"/>
      <c r="E21" s="8">
        <v>0</v>
      </c>
      <c r="F21" s="28">
        <v>117</v>
      </c>
      <c r="G21" s="30">
        <v>0</v>
      </c>
      <c r="H21" s="31">
        <f t="shared" si="1"/>
        <v>99.45</v>
      </c>
      <c r="I21" s="9">
        <f t="shared" si="0"/>
        <v>0</v>
      </c>
    </row>
    <row r="22" spans="1:9" x14ac:dyDescent="0.25">
      <c r="A22" s="6">
        <v>45917</v>
      </c>
      <c r="B22" s="5" t="s">
        <v>249</v>
      </c>
      <c r="C22" s="3">
        <v>200</v>
      </c>
      <c r="D22" s="7"/>
      <c r="E22" s="8">
        <v>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45918</v>
      </c>
      <c r="B23" s="5" t="s">
        <v>184</v>
      </c>
      <c r="C23" s="3">
        <v>170</v>
      </c>
      <c r="D23" s="7" t="s">
        <v>220</v>
      </c>
      <c r="E23" s="8">
        <v>7.2</v>
      </c>
      <c r="F23" s="28">
        <v>80</v>
      </c>
      <c r="G23" s="30">
        <v>0</v>
      </c>
      <c r="H23" s="31">
        <f t="shared" si="1"/>
        <v>68</v>
      </c>
      <c r="I23" s="9">
        <f t="shared" si="0"/>
        <v>0</v>
      </c>
    </row>
    <row r="24" spans="1:9" x14ac:dyDescent="0.25">
      <c r="A24" s="6">
        <v>45919</v>
      </c>
      <c r="B24" s="5" t="s">
        <v>222</v>
      </c>
      <c r="C24" s="3">
        <v>100</v>
      </c>
      <c r="D24" s="7"/>
      <c r="E24" s="8">
        <v>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45920</v>
      </c>
      <c r="B25" s="5" t="s">
        <v>147</v>
      </c>
      <c r="C25" s="3">
        <v>100</v>
      </c>
      <c r="D25" s="7"/>
      <c r="E25" s="8">
        <v>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45921</v>
      </c>
      <c r="B26" s="5" t="s">
        <v>303</v>
      </c>
      <c r="C26" s="3">
        <v>450</v>
      </c>
      <c r="D26" s="7"/>
      <c r="E26" s="8">
        <v>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45922</v>
      </c>
      <c r="B27" s="5" t="s">
        <v>171</v>
      </c>
      <c r="C27" s="3">
        <v>120</v>
      </c>
      <c r="D27" s="7"/>
      <c r="E27" s="8">
        <v>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45923</v>
      </c>
      <c r="B28" s="5" t="s">
        <v>148</v>
      </c>
      <c r="C28" s="3">
        <v>100</v>
      </c>
      <c r="D28" s="7"/>
      <c r="E28" s="8">
        <v>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45924</v>
      </c>
      <c r="B29" s="5" t="s">
        <v>249</v>
      </c>
      <c r="C29" s="3">
        <v>200</v>
      </c>
      <c r="D29" s="7"/>
      <c r="E29" s="8">
        <v>0</v>
      </c>
      <c r="F29" s="28">
        <v>92.4</v>
      </c>
      <c r="G29" s="30">
        <v>0</v>
      </c>
      <c r="H29" s="31">
        <f t="shared" si="1"/>
        <v>78.540000000000006</v>
      </c>
      <c r="I29" s="9">
        <f t="shared" si="0"/>
        <v>0</v>
      </c>
    </row>
    <row r="30" spans="1:9" x14ac:dyDescent="0.25">
      <c r="A30" s="6">
        <v>45925</v>
      </c>
      <c r="B30" s="5" t="s">
        <v>299</v>
      </c>
      <c r="C30" s="3">
        <v>120</v>
      </c>
      <c r="D30" s="7"/>
      <c r="E30" s="8">
        <v>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45926</v>
      </c>
      <c r="B31" s="5" t="s">
        <v>304</v>
      </c>
      <c r="C31" s="3">
        <v>200</v>
      </c>
      <c r="D31" s="7"/>
      <c r="E31" s="8">
        <v>0</v>
      </c>
      <c r="F31" s="28">
        <v>134</v>
      </c>
      <c r="G31" s="30">
        <v>0</v>
      </c>
      <c r="H31" s="31">
        <f t="shared" si="1"/>
        <v>113.89999999999999</v>
      </c>
      <c r="I31" s="9">
        <f t="shared" si="0"/>
        <v>0</v>
      </c>
    </row>
    <row r="32" spans="1:9" x14ac:dyDescent="0.25">
      <c r="A32" s="6">
        <v>45927</v>
      </c>
      <c r="B32" s="5" t="s">
        <v>187</v>
      </c>
      <c r="C32" s="3">
        <v>240</v>
      </c>
      <c r="D32" s="7" t="s">
        <v>305</v>
      </c>
      <c r="E32" s="8">
        <v>7.2</v>
      </c>
      <c r="F32" s="28">
        <v>110</v>
      </c>
      <c r="G32" s="30">
        <v>0</v>
      </c>
      <c r="H32" s="31">
        <f t="shared" si="1"/>
        <v>93.5</v>
      </c>
      <c r="I32" s="9">
        <f t="shared" si="0"/>
        <v>0</v>
      </c>
    </row>
    <row r="33" spans="1:9" x14ac:dyDescent="0.25">
      <c r="A33" s="6">
        <v>45928</v>
      </c>
      <c r="B33" s="5" t="s">
        <v>163</v>
      </c>
      <c r="C33" s="3">
        <v>0</v>
      </c>
      <c r="D33" s="7"/>
      <c r="E33" s="8">
        <v>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45929</v>
      </c>
      <c r="B34" s="5" t="s">
        <v>306</v>
      </c>
      <c r="C34" s="3">
        <v>250</v>
      </c>
      <c r="D34" s="7" t="s">
        <v>220</v>
      </c>
      <c r="E34" s="8">
        <v>3.2</v>
      </c>
      <c r="F34" s="28">
        <v>110</v>
      </c>
      <c r="G34" s="30">
        <v>0</v>
      </c>
      <c r="H34" s="31">
        <f t="shared" si="1"/>
        <v>93.5</v>
      </c>
      <c r="I34" s="9">
        <f t="shared" si="0"/>
        <v>0</v>
      </c>
    </row>
    <row r="35" spans="1:9" x14ac:dyDescent="0.25">
      <c r="A35" s="6">
        <v>45930</v>
      </c>
      <c r="B35" s="5" t="s">
        <v>187</v>
      </c>
      <c r="C35" s="3">
        <v>240</v>
      </c>
      <c r="D35" s="7"/>
      <c r="E35" s="8">
        <v>0</v>
      </c>
      <c r="F35" s="28">
        <v>84.2</v>
      </c>
      <c r="G35" s="30">
        <v>0</v>
      </c>
      <c r="H35" s="31">
        <f t="shared" si="1"/>
        <v>71.570000000000007</v>
      </c>
      <c r="I35" s="9">
        <f t="shared" si="0"/>
        <v>0</v>
      </c>
    </row>
    <row r="36" spans="1:9" x14ac:dyDescent="0.25">
      <c r="A36" s="36"/>
      <c r="B36" s="36"/>
      <c r="C36" s="36"/>
      <c r="D36" s="36"/>
      <c r="E36" s="36"/>
      <c r="F36" s="37">
        <f>SUM(F6:F35)</f>
        <v>996.6</v>
      </c>
      <c r="G36" s="37">
        <f>SUM(G6:G35)</f>
        <v>0</v>
      </c>
      <c r="H36" s="36"/>
      <c r="I36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7"/>
  <sheetViews>
    <sheetView topLeftCell="A4" zoomScaleNormal="100" workbookViewId="0">
      <selection sqref="A1:K3"/>
    </sheetView>
  </sheetViews>
  <sheetFormatPr defaultRowHeight="15" x14ac:dyDescent="0.25"/>
  <cols>
    <col min="1" max="1" width="11.28515625" customWidth="1"/>
    <col min="2" max="2" width="48.42578125" customWidth="1"/>
    <col min="3" max="3" width="16" customWidth="1"/>
    <col min="4" max="4" width="28.7109375" customWidth="1"/>
    <col min="5" max="5" width="21.7109375" customWidth="1"/>
    <col min="6" max="6" width="26" customWidth="1"/>
    <col min="7" max="7" width="25.140625" customWidth="1"/>
    <col min="8" max="8" width="35.140625" customWidth="1"/>
    <col min="9" max="9" width="35.42578125" customWidth="1"/>
    <col min="10" max="10" width="46.28515625" customWidth="1"/>
    <col min="11" max="11" width="27.5703125" customWidth="1"/>
    <col min="15" max="15" width="42" customWidth="1"/>
    <col min="16" max="16" width="32.28515625" customWidth="1"/>
  </cols>
  <sheetData>
    <row r="1" spans="1:16" ht="15" customHeight="1" x14ac:dyDescent="0.25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</row>
    <row r="2" spans="1:16" ht="15" customHeight="1" x14ac:dyDescent="0.25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</row>
    <row r="3" spans="1:16" ht="31.5" customHeight="1" x14ac:dyDescent="0.5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O3" s="69" t="s">
        <v>11</v>
      </c>
      <c r="P3" s="69"/>
    </row>
    <row r="4" spans="1:16" ht="27" customHeight="1" x14ac:dyDescent="0.3">
      <c r="A4" s="82" t="s">
        <v>308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43"/>
      <c r="O4" s="2" t="s">
        <v>14</v>
      </c>
      <c r="P4" s="3">
        <f>SUM(C6:C36)</f>
        <v>4960</v>
      </c>
    </row>
    <row r="5" spans="1:16" ht="24.75" customHeight="1" x14ac:dyDescent="0.25">
      <c r="A5" s="44" t="s">
        <v>2</v>
      </c>
      <c r="B5" s="45" t="s">
        <v>3</v>
      </c>
      <c r="C5" s="46" t="s">
        <v>4</v>
      </c>
      <c r="D5" s="47" t="s">
        <v>5</v>
      </c>
      <c r="E5" s="48" t="s">
        <v>6</v>
      </c>
      <c r="F5" s="49" t="s">
        <v>7</v>
      </c>
      <c r="G5" s="50" t="s">
        <v>8</v>
      </c>
      <c r="H5" s="51" t="s">
        <v>9</v>
      </c>
      <c r="I5" s="50" t="s">
        <v>10</v>
      </c>
      <c r="J5" s="63" t="s">
        <v>320</v>
      </c>
      <c r="K5" s="64" t="s">
        <v>321</v>
      </c>
      <c r="L5" s="43"/>
      <c r="O5" s="4" t="s">
        <v>15</v>
      </c>
      <c r="P5" s="8">
        <f>SUM(E6:E36)</f>
        <v>7.2</v>
      </c>
    </row>
    <row r="6" spans="1:16" ht="25.5" customHeight="1" x14ac:dyDescent="0.25">
      <c r="A6" s="52">
        <v>45931</v>
      </c>
      <c r="B6" s="53" t="s">
        <v>307</v>
      </c>
      <c r="C6" s="54">
        <v>70</v>
      </c>
      <c r="D6" s="55"/>
      <c r="E6" s="56">
        <v>0</v>
      </c>
      <c r="F6" s="57">
        <v>0</v>
      </c>
      <c r="G6" s="58">
        <v>0</v>
      </c>
      <c r="H6" s="59">
        <f>F6*0.85</f>
        <v>0</v>
      </c>
      <c r="I6" s="60">
        <f>G6*0.9</f>
        <v>0</v>
      </c>
      <c r="J6" s="61" t="s">
        <v>322</v>
      </c>
      <c r="K6" s="62"/>
      <c r="L6" s="43"/>
      <c r="O6" s="11" t="s">
        <v>16</v>
      </c>
      <c r="P6" s="12">
        <v>0</v>
      </c>
    </row>
    <row r="7" spans="1:16" x14ac:dyDescent="0.25">
      <c r="A7" s="52">
        <v>45871</v>
      </c>
      <c r="B7" s="53" t="s">
        <v>309</v>
      </c>
      <c r="C7" s="54">
        <v>280</v>
      </c>
      <c r="D7" s="55"/>
      <c r="E7" s="56">
        <v>0</v>
      </c>
      <c r="F7" s="57">
        <v>0</v>
      </c>
      <c r="G7" s="58">
        <v>0</v>
      </c>
      <c r="H7" s="59">
        <f>F7*0.85</f>
        <v>0</v>
      </c>
      <c r="I7" s="60">
        <f t="shared" ref="I7:I36" si="0">G7*0.9</f>
        <v>0</v>
      </c>
      <c r="J7" s="61" t="s">
        <v>323</v>
      </c>
      <c r="K7" s="62"/>
      <c r="L7" s="43"/>
      <c r="O7" s="13" t="s">
        <v>54</v>
      </c>
      <c r="P7" s="14">
        <f>SUM(F37+G37)</f>
        <v>1554.4</v>
      </c>
    </row>
    <row r="8" spans="1:16" x14ac:dyDescent="0.25">
      <c r="A8" s="52">
        <v>45872</v>
      </c>
      <c r="B8" s="53" t="s">
        <v>310</v>
      </c>
      <c r="C8" s="54">
        <v>270</v>
      </c>
      <c r="D8" s="55" t="s">
        <v>220</v>
      </c>
      <c r="E8" s="56">
        <v>7.2</v>
      </c>
      <c r="F8" s="57">
        <v>107.4</v>
      </c>
      <c r="G8" s="58">
        <v>0</v>
      </c>
      <c r="H8" s="59">
        <f>F8*0.85</f>
        <v>91.29</v>
      </c>
      <c r="I8" s="60">
        <f t="shared" si="0"/>
        <v>0</v>
      </c>
      <c r="J8" s="61" t="s">
        <v>324</v>
      </c>
      <c r="K8" s="62"/>
      <c r="L8" s="43"/>
      <c r="O8" s="20" t="s">
        <v>18</v>
      </c>
      <c r="P8" s="21">
        <f>SUM(P5+P4)</f>
        <v>4967.2</v>
      </c>
    </row>
    <row r="9" spans="1:16" x14ac:dyDescent="0.25">
      <c r="A9" s="52">
        <v>45873</v>
      </c>
      <c r="B9" s="53" t="s">
        <v>311</v>
      </c>
      <c r="C9" s="54">
        <v>570</v>
      </c>
      <c r="D9" s="55"/>
      <c r="E9" s="56">
        <v>0</v>
      </c>
      <c r="F9" s="57">
        <v>0</v>
      </c>
      <c r="G9" s="58">
        <v>0</v>
      </c>
      <c r="H9" s="59">
        <f>F9*0.85</f>
        <v>0</v>
      </c>
      <c r="I9" s="60">
        <f t="shared" si="0"/>
        <v>0</v>
      </c>
      <c r="J9" s="61" t="s">
        <v>325</v>
      </c>
      <c r="K9" s="62"/>
      <c r="L9" s="43"/>
      <c r="O9" s="22" t="s">
        <v>21</v>
      </c>
      <c r="P9" s="33">
        <f>SUM(H6:H36)</f>
        <v>1321.24</v>
      </c>
    </row>
    <row r="10" spans="1:16" x14ac:dyDescent="0.25">
      <c r="A10" s="52">
        <v>45874</v>
      </c>
      <c r="B10" s="53" t="s">
        <v>197</v>
      </c>
      <c r="C10" s="54">
        <v>0</v>
      </c>
      <c r="D10" s="55"/>
      <c r="E10" s="56">
        <v>0</v>
      </c>
      <c r="F10" s="57">
        <v>0</v>
      </c>
      <c r="G10" s="58">
        <v>0</v>
      </c>
      <c r="H10" s="59">
        <f>F10*0.85</f>
        <v>0</v>
      </c>
      <c r="I10" s="60">
        <f t="shared" si="0"/>
        <v>0</v>
      </c>
      <c r="J10" s="61"/>
      <c r="K10" s="62"/>
      <c r="L10" s="43"/>
      <c r="O10" s="23" t="s">
        <v>22</v>
      </c>
      <c r="P10" s="9">
        <f>SUM(I6:I36)</f>
        <v>0</v>
      </c>
    </row>
    <row r="11" spans="1:16" x14ac:dyDescent="0.25">
      <c r="A11" s="52">
        <v>45875</v>
      </c>
      <c r="B11" s="53" t="s">
        <v>171</v>
      </c>
      <c r="C11" s="54">
        <v>120</v>
      </c>
      <c r="D11" s="55"/>
      <c r="E11" s="56">
        <v>0</v>
      </c>
      <c r="F11" s="57">
        <v>0</v>
      </c>
      <c r="G11" s="58">
        <v>0</v>
      </c>
      <c r="H11" s="59">
        <f t="shared" ref="H11:H36" si="1">F11*0.85</f>
        <v>0</v>
      </c>
      <c r="I11" s="60">
        <f t="shared" si="0"/>
        <v>0</v>
      </c>
      <c r="J11" s="61" t="s">
        <v>326</v>
      </c>
      <c r="K11" s="62"/>
      <c r="L11" s="43"/>
      <c r="O11" s="24" t="s">
        <v>24</v>
      </c>
      <c r="P11" s="34">
        <f>P9+P10</f>
        <v>1321.24</v>
      </c>
    </row>
    <row r="12" spans="1:16" ht="20.25" customHeight="1" x14ac:dyDescent="0.25">
      <c r="A12" s="52">
        <v>45876</v>
      </c>
      <c r="B12" s="53" t="s">
        <v>187</v>
      </c>
      <c r="C12" s="54">
        <v>240</v>
      </c>
      <c r="D12" s="55"/>
      <c r="E12" s="56">
        <v>0</v>
      </c>
      <c r="F12" s="57">
        <v>0</v>
      </c>
      <c r="G12" s="58">
        <v>0</v>
      </c>
      <c r="H12" s="59">
        <f t="shared" si="1"/>
        <v>0</v>
      </c>
      <c r="I12" s="60">
        <f t="shared" si="0"/>
        <v>0</v>
      </c>
      <c r="J12" s="61" t="s">
        <v>327</v>
      </c>
      <c r="K12" s="62"/>
      <c r="L12" s="43"/>
      <c r="O12" s="25" t="s">
        <v>67</v>
      </c>
      <c r="P12" s="26">
        <f>SUM(P8+P11)</f>
        <v>6288.44</v>
      </c>
    </row>
    <row r="13" spans="1:16" x14ac:dyDescent="0.25">
      <c r="A13" s="52">
        <v>45877</v>
      </c>
      <c r="B13" s="53" t="s">
        <v>312</v>
      </c>
      <c r="C13" s="54">
        <v>290</v>
      </c>
      <c r="D13" s="55"/>
      <c r="E13" s="56">
        <v>0</v>
      </c>
      <c r="F13" s="57">
        <v>162</v>
      </c>
      <c r="G13" s="58">
        <v>0</v>
      </c>
      <c r="H13" s="59">
        <f t="shared" si="1"/>
        <v>137.69999999999999</v>
      </c>
      <c r="I13" s="60">
        <f t="shared" si="0"/>
        <v>0</v>
      </c>
      <c r="J13" s="61" t="s">
        <v>328</v>
      </c>
      <c r="K13" s="62"/>
      <c r="L13" s="43"/>
    </row>
    <row r="14" spans="1:16" x14ac:dyDescent="0.25">
      <c r="A14" s="52">
        <v>45878</v>
      </c>
      <c r="B14" s="53" t="s">
        <v>313</v>
      </c>
      <c r="C14" s="54">
        <v>220</v>
      </c>
      <c r="D14" s="55"/>
      <c r="E14" s="56">
        <v>0</v>
      </c>
      <c r="F14" s="57">
        <v>120</v>
      </c>
      <c r="G14" s="58">
        <v>0</v>
      </c>
      <c r="H14" s="59">
        <f t="shared" si="1"/>
        <v>102</v>
      </c>
      <c r="I14" s="60">
        <f t="shared" si="0"/>
        <v>0</v>
      </c>
      <c r="J14" s="61" t="s">
        <v>329</v>
      </c>
      <c r="K14" s="62"/>
      <c r="L14" s="43"/>
    </row>
    <row r="15" spans="1:16" x14ac:dyDescent="0.25">
      <c r="A15" s="52">
        <v>45879</v>
      </c>
      <c r="B15" s="53" t="s">
        <v>314</v>
      </c>
      <c r="C15" s="54">
        <v>220</v>
      </c>
      <c r="D15" s="55"/>
      <c r="E15" s="56">
        <v>0</v>
      </c>
      <c r="F15" s="57">
        <v>120</v>
      </c>
      <c r="G15" s="58">
        <v>0</v>
      </c>
      <c r="H15" s="59">
        <f t="shared" si="1"/>
        <v>102</v>
      </c>
      <c r="I15" s="60">
        <f t="shared" si="0"/>
        <v>0</v>
      </c>
      <c r="J15" s="61">
        <v>8213521</v>
      </c>
      <c r="K15" s="62"/>
      <c r="L15" s="43"/>
    </row>
    <row r="16" spans="1:16" x14ac:dyDescent="0.25">
      <c r="A16" s="52">
        <v>45880</v>
      </c>
      <c r="B16" s="53" t="s">
        <v>215</v>
      </c>
      <c r="C16" s="54">
        <v>170</v>
      </c>
      <c r="D16" s="55"/>
      <c r="E16" s="56">
        <v>0</v>
      </c>
      <c r="F16" s="57">
        <v>86</v>
      </c>
      <c r="G16" s="58">
        <v>0</v>
      </c>
      <c r="H16" s="59">
        <f t="shared" si="1"/>
        <v>73.099999999999994</v>
      </c>
      <c r="I16" s="60">
        <f t="shared" si="0"/>
        <v>0</v>
      </c>
      <c r="J16" s="61" t="s">
        <v>330</v>
      </c>
      <c r="K16" s="62"/>
      <c r="L16" s="43"/>
    </row>
    <row r="17" spans="1:12" x14ac:dyDescent="0.25">
      <c r="A17" s="52">
        <v>45881</v>
      </c>
      <c r="B17" s="53" t="s">
        <v>197</v>
      </c>
      <c r="C17" s="54">
        <v>0</v>
      </c>
      <c r="D17" s="55"/>
      <c r="E17" s="56">
        <v>0</v>
      </c>
      <c r="F17" s="57">
        <v>0</v>
      </c>
      <c r="G17" s="58">
        <v>0</v>
      </c>
      <c r="H17" s="59">
        <f t="shared" si="1"/>
        <v>0</v>
      </c>
      <c r="I17" s="60">
        <f t="shared" si="0"/>
        <v>0</v>
      </c>
      <c r="J17" s="61"/>
      <c r="K17" s="62"/>
      <c r="L17" s="43"/>
    </row>
    <row r="18" spans="1:12" x14ac:dyDescent="0.25">
      <c r="A18" s="52">
        <v>45882</v>
      </c>
      <c r="B18" s="53" t="s">
        <v>312</v>
      </c>
      <c r="C18" s="54">
        <v>290</v>
      </c>
      <c r="D18" s="55"/>
      <c r="E18" s="56">
        <v>0</v>
      </c>
      <c r="F18" s="57">
        <v>86</v>
      </c>
      <c r="G18" s="58">
        <v>0</v>
      </c>
      <c r="H18" s="59">
        <f t="shared" si="1"/>
        <v>73.099999999999994</v>
      </c>
      <c r="I18" s="60">
        <f t="shared" si="0"/>
        <v>0</v>
      </c>
      <c r="J18" s="61" t="s">
        <v>331</v>
      </c>
      <c r="K18" s="62"/>
      <c r="L18" s="43"/>
    </row>
    <row r="19" spans="1:12" x14ac:dyDescent="0.25">
      <c r="A19" s="52">
        <v>45883</v>
      </c>
      <c r="B19" s="53" t="s">
        <v>207</v>
      </c>
      <c r="C19" s="54">
        <v>120</v>
      </c>
      <c r="D19" s="55"/>
      <c r="E19" s="56">
        <v>0</v>
      </c>
      <c r="F19" s="57">
        <v>93</v>
      </c>
      <c r="G19" s="58">
        <v>0</v>
      </c>
      <c r="H19" s="59">
        <f t="shared" si="1"/>
        <v>79.05</v>
      </c>
      <c r="I19" s="60">
        <f t="shared" si="0"/>
        <v>0</v>
      </c>
      <c r="J19" s="61" t="s">
        <v>332</v>
      </c>
      <c r="K19" s="62"/>
      <c r="L19" s="43"/>
    </row>
    <row r="20" spans="1:12" x14ac:dyDescent="0.25">
      <c r="A20" s="52">
        <v>45884</v>
      </c>
      <c r="B20" s="53" t="s">
        <v>276</v>
      </c>
      <c r="C20" s="54">
        <v>170</v>
      </c>
      <c r="D20" s="55"/>
      <c r="E20" s="56">
        <v>0</v>
      </c>
      <c r="F20" s="57">
        <v>140</v>
      </c>
      <c r="G20" s="58">
        <v>0</v>
      </c>
      <c r="H20" s="59">
        <f t="shared" si="1"/>
        <v>119</v>
      </c>
      <c r="I20" s="60">
        <f t="shared" si="0"/>
        <v>0</v>
      </c>
      <c r="J20" s="61" t="s">
        <v>333</v>
      </c>
      <c r="K20" s="62"/>
      <c r="L20" s="43"/>
    </row>
    <row r="21" spans="1:12" x14ac:dyDescent="0.25">
      <c r="A21" s="52">
        <v>45885</v>
      </c>
      <c r="B21" s="53" t="s">
        <v>197</v>
      </c>
      <c r="C21" s="54">
        <v>0</v>
      </c>
      <c r="D21" s="55"/>
      <c r="E21" s="56">
        <v>0</v>
      </c>
      <c r="F21" s="57">
        <v>0</v>
      </c>
      <c r="G21" s="58">
        <v>0</v>
      </c>
      <c r="H21" s="59">
        <f t="shared" si="1"/>
        <v>0</v>
      </c>
      <c r="I21" s="60">
        <f t="shared" si="0"/>
        <v>0</v>
      </c>
      <c r="J21" s="61"/>
      <c r="K21" s="62"/>
      <c r="L21" s="43"/>
    </row>
    <row r="22" spans="1:12" x14ac:dyDescent="0.25">
      <c r="A22" s="52">
        <v>45886</v>
      </c>
      <c r="B22" s="53" t="s">
        <v>314</v>
      </c>
      <c r="C22" s="54">
        <v>220</v>
      </c>
      <c r="D22" s="55"/>
      <c r="E22" s="56">
        <v>0</v>
      </c>
      <c r="F22" s="57">
        <v>140</v>
      </c>
      <c r="G22" s="58">
        <v>0</v>
      </c>
      <c r="H22" s="59">
        <f t="shared" si="1"/>
        <v>119</v>
      </c>
      <c r="I22" s="60">
        <f t="shared" si="0"/>
        <v>0</v>
      </c>
      <c r="J22" s="61" t="s">
        <v>334</v>
      </c>
      <c r="K22" s="62"/>
      <c r="L22" s="43"/>
    </row>
    <row r="23" spans="1:12" x14ac:dyDescent="0.25">
      <c r="A23" s="52">
        <v>45887</v>
      </c>
      <c r="B23" s="53" t="s">
        <v>315</v>
      </c>
      <c r="C23" s="54">
        <v>390</v>
      </c>
      <c r="D23" s="55"/>
      <c r="E23" s="56">
        <v>0</v>
      </c>
      <c r="F23" s="57">
        <v>120</v>
      </c>
      <c r="G23" s="58">
        <v>0</v>
      </c>
      <c r="H23" s="59">
        <f t="shared" si="1"/>
        <v>102</v>
      </c>
      <c r="I23" s="60">
        <f t="shared" si="0"/>
        <v>0</v>
      </c>
      <c r="J23" s="61" t="s">
        <v>335</v>
      </c>
      <c r="K23" s="62"/>
      <c r="L23" s="43"/>
    </row>
    <row r="24" spans="1:12" x14ac:dyDescent="0.25">
      <c r="A24" s="52">
        <v>45888</v>
      </c>
      <c r="B24" s="53" t="s">
        <v>197</v>
      </c>
      <c r="C24" s="54">
        <v>0</v>
      </c>
      <c r="D24" s="55"/>
      <c r="E24" s="56">
        <v>0</v>
      </c>
      <c r="F24" s="57">
        <v>0</v>
      </c>
      <c r="G24" s="58">
        <v>0</v>
      </c>
      <c r="H24" s="59">
        <f t="shared" si="1"/>
        <v>0</v>
      </c>
      <c r="I24" s="60">
        <f t="shared" si="0"/>
        <v>0</v>
      </c>
      <c r="J24" s="61"/>
      <c r="K24" s="62"/>
      <c r="L24" s="43"/>
    </row>
    <row r="25" spans="1:12" x14ac:dyDescent="0.25">
      <c r="A25" s="52">
        <v>45889</v>
      </c>
      <c r="B25" s="53" t="s">
        <v>148</v>
      </c>
      <c r="C25" s="54">
        <v>100</v>
      </c>
      <c r="D25" s="55"/>
      <c r="E25" s="56">
        <v>0</v>
      </c>
      <c r="F25" s="57">
        <v>0</v>
      </c>
      <c r="G25" s="58">
        <v>0</v>
      </c>
      <c r="H25" s="59">
        <f t="shared" si="1"/>
        <v>0</v>
      </c>
      <c r="I25" s="60">
        <f t="shared" si="0"/>
        <v>0</v>
      </c>
      <c r="J25" s="61" t="s">
        <v>336</v>
      </c>
      <c r="K25" s="62"/>
      <c r="L25" s="43"/>
    </row>
    <row r="26" spans="1:12" x14ac:dyDescent="0.25">
      <c r="A26" s="52">
        <v>45890</v>
      </c>
      <c r="B26" s="53" t="s">
        <v>316</v>
      </c>
      <c r="C26" s="54">
        <v>270</v>
      </c>
      <c r="D26" s="55"/>
      <c r="E26" s="56">
        <v>0</v>
      </c>
      <c r="F26" s="57">
        <v>140</v>
      </c>
      <c r="G26" s="58">
        <v>0</v>
      </c>
      <c r="H26" s="59">
        <f t="shared" si="1"/>
        <v>119</v>
      </c>
      <c r="I26" s="60">
        <f t="shared" si="0"/>
        <v>0</v>
      </c>
      <c r="J26" s="61" t="s">
        <v>337</v>
      </c>
      <c r="K26" s="62"/>
      <c r="L26" s="43"/>
    </row>
    <row r="27" spans="1:12" x14ac:dyDescent="0.25">
      <c r="A27" s="52">
        <v>45891</v>
      </c>
      <c r="B27" s="53" t="s">
        <v>197</v>
      </c>
      <c r="C27" s="54">
        <v>0</v>
      </c>
      <c r="D27" s="55"/>
      <c r="E27" s="56">
        <v>0</v>
      </c>
      <c r="F27" s="57">
        <v>0</v>
      </c>
      <c r="G27" s="58">
        <v>0</v>
      </c>
      <c r="H27" s="59">
        <f t="shared" si="1"/>
        <v>0</v>
      </c>
      <c r="I27" s="60">
        <f t="shared" si="0"/>
        <v>0</v>
      </c>
      <c r="J27" s="61"/>
      <c r="K27" s="62"/>
      <c r="L27" s="43"/>
    </row>
    <row r="28" spans="1:12" x14ac:dyDescent="0.25">
      <c r="A28" s="52">
        <v>45892</v>
      </c>
      <c r="B28" s="53" t="s">
        <v>197</v>
      </c>
      <c r="C28" s="54">
        <v>0</v>
      </c>
      <c r="D28" s="55"/>
      <c r="E28" s="56">
        <v>0</v>
      </c>
      <c r="F28" s="57">
        <v>0</v>
      </c>
      <c r="G28" s="58">
        <v>0</v>
      </c>
      <c r="H28" s="59">
        <f t="shared" si="1"/>
        <v>0</v>
      </c>
      <c r="I28" s="60">
        <f t="shared" si="0"/>
        <v>0</v>
      </c>
      <c r="J28" s="61"/>
      <c r="K28" s="62"/>
      <c r="L28" s="43"/>
    </row>
    <row r="29" spans="1:12" x14ac:dyDescent="0.25">
      <c r="A29" s="52">
        <v>45893</v>
      </c>
      <c r="B29" s="53" t="s">
        <v>197</v>
      </c>
      <c r="C29" s="54">
        <v>0</v>
      </c>
      <c r="D29" s="55"/>
      <c r="E29" s="56">
        <v>0</v>
      </c>
      <c r="F29" s="57">
        <v>0</v>
      </c>
      <c r="G29" s="58">
        <v>0</v>
      </c>
      <c r="H29" s="59">
        <f t="shared" si="1"/>
        <v>0</v>
      </c>
      <c r="I29" s="60">
        <f t="shared" si="0"/>
        <v>0</v>
      </c>
      <c r="J29" s="61"/>
      <c r="K29" s="62"/>
      <c r="L29" s="43"/>
    </row>
    <row r="30" spans="1:12" x14ac:dyDescent="0.25">
      <c r="A30" s="52">
        <v>45894</v>
      </c>
      <c r="B30" s="53" t="s">
        <v>317</v>
      </c>
      <c r="C30" s="54">
        <v>320</v>
      </c>
      <c r="D30" s="55"/>
      <c r="E30" s="56">
        <v>0</v>
      </c>
      <c r="F30" s="57">
        <v>120</v>
      </c>
      <c r="G30" s="58">
        <v>0</v>
      </c>
      <c r="H30" s="59">
        <f t="shared" si="1"/>
        <v>102</v>
      </c>
      <c r="I30" s="60">
        <f t="shared" si="0"/>
        <v>0</v>
      </c>
      <c r="J30" s="61" t="s">
        <v>338</v>
      </c>
      <c r="K30" s="62"/>
      <c r="L30" s="43"/>
    </row>
    <row r="31" spans="1:12" x14ac:dyDescent="0.25">
      <c r="A31" s="52">
        <v>45895</v>
      </c>
      <c r="B31" s="53" t="s">
        <v>197</v>
      </c>
      <c r="C31" s="54">
        <v>0</v>
      </c>
      <c r="D31" s="55"/>
      <c r="E31" s="56">
        <v>0</v>
      </c>
      <c r="F31" s="57">
        <v>0</v>
      </c>
      <c r="G31" s="58">
        <v>0</v>
      </c>
      <c r="H31" s="59">
        <f t="shared" si="1"/>
        <v>0</v>
      </c>
      <c r="I31" s="60">
        <f t="shared" si="0"/>
        <v>0</v>
      </c>
      <c r="J31" s="61"/>
      <c r="K31" s="62"/>
      <c r="L31" s="43"/>
    </row>
    <row r="32" spans="1:12" x14ac:dyDescent="0.25">
      <c r="A32" s="52">
        <v>45896</v>
      </c>
      <c r="B32" s="53" t="s">
        <v>214</v>
      </c>
      <c r="C32" s="54">
        <v>240</v>
      </c>
      <c r="D32" s="55"/>
      <c r="E32" s="56">
        <v>0</v>
      </c>
      <c r="F32" s="57">
        <v>0</v>
      </c>
      <c r="G32" s="58">
        <v>0</v>
      </c>
      <c r="H32" s="59">
        <f t="shared" si="1"/>
        <v>0</v>
      </c>
      <c r="I32" s="60">
        <f t="shared" si="0"/>
        <v>0</v>
      </c>
      <c r="J32" s="61" t="s">
        <v>339</v>
      </c>
      <c r="K32" s="62"/>
      <c r="L32" s="43"/>
    </row>
    <row r="33" spans="1:12" x14ac:dyDescent="0.25">
      <c r="A33" s="52">
        <v>45897</v>
      </c>
      <c r="B33" s="53" t="s">
        <v>318</v>
      </c>
      <c r="C33" s="54">
        <v>120</v>
      </c>
      <c r="D33" s="55"/>
      <c r="E33" s="56">
        <v>0</v>
      </c>
      <c r="F33" s="57">
        <v>0</v>
      </c>
      <c r="G33" s="58">
        <v>0</v>
      </c>
      <c r="H33" s="59">
        <f t="shared" si="1"/>
        <v>0</v>
      </c>
      <c r="I33" s="60">
        <f t="shared" si="0"/>
        <v>0</v>
      </c>
      <c r="J33" s="61" t="s">
        <v>340</v>
      </c>
      <c r="K33" s="62"/>
      <c r="L33" s="43"/>
    </row>
    <row r="34" spans="1:12" x14ac:dyDescent="0.25">
      <c r="A34" s="52">
        <v>45898</v>
      </c>
      <c r="B34" s="53" t="s">
        <v>319</v>
      </c>
      <c r="C34" s="54">
        <v>270</v>
      </c>
      <c r="D34" s="55"/>
      <c r="E34" s="56">
        <v>0</v>
      </c>
      <c r="F34" s="57">
        <v>120</v>
      </c>
      <c r="G34" s="58">
        <v>0</v>
      </c>
      <c r="H34" s="59">
        <f t="shared" si="1"/>
        <v>102</v>
      </c>
      <c r="I34" s="60">
        <f t="shared" si="0"/>
        <v>0</v>
      </c>
      <c r="J34" s="61" t="s">
        <v>341</v>
      </c>
      <c r="K34" s="62"/>
      <c r="L34" s="43"/>
    </row>
    <row r="35" spans="1:12" x14ac:dyDescent="0.25">
      <c r="A35" s="52">
        <v>45899</v>
      </c>
      <c r="B35" s="53" t="s">
        <v>197</v>
      </c>
      <c r="C35" s="54">
        <v>0</v>
      </c>
      <c r="D35" s="55"/>
      <c r="E35" s="56">
        <v>0</v>
      </c>
      <c r="F35" s="57">
        <v>0</v>
      </c>
      <c r="G35" s="58">
        <v>0</v>
      </c>
      <c r="H35" s="59">
        <f t="shared" si="1"/>
        <v>0</v>
      </c>
      <c r="I35" s="60">
        <f t="shared" si="0"/>
        <v>0</v>
      </c>
      <c r="J35" s="61"/>
      <c r="K35" s="62"/>
      <c r="L35" s="43"/>
    </row>
    <row r="36" spans="1:12" x14ac:dyDescent="0.25">
      <c r="A36" s="52">
        <v>45900</v>
      </c>
      <c r="B36" s="53" t="s">
        <v>197</v>
      </c>
      <c r="C36" s="54">
        <v>0</v>
      </c>
      <c r="D36" s="55"/>
      <c r="E36" s="56">
        <v>0</v>
      </c>
      <c r="F36" s="57">
        <v>0</v>
      </c>
      <c r="G36" s="58">
        <v>0</v>
      </c>
      <c r="H36" s="59">
        <f t="shared" si="1"/>
        <v>0</v>
      </c>
      <c r="I36" s="60">
        <f t="shared" si="0"/>
        <v>0</v>
      </c>
      <c r="J36" s="61"/>
      <c r="K36" s="62"/>
      <c r="L36" s="43"/>
    </row>
    <row r="37" spans="1:12" x14ac:dyDescent="0.25">
      <c r="A37" s="36"/>
      <c r="B37" s="36"/>
      <c r="C37" s="36"/>
      <c r="D37" s="36"/>
      <c r="E37" s="36"/>
      <c r="F37" s="37">
        <f>SUM(F6:F36)</f>
        <v>1554.4</v>
      </c>
      <c r="G37" s="37">
        <f>SUM(G6:G36)</f>
        <v>0</v>
      </c>
      <c r="H37" s="36"/>
      <c r="I37" s="36"/>
    </row>
  </sheetData>
  <mergeCells count="3">
    <mergeCell ref="O3:P3"/>
    <mergeCell ref="A4:K4"/>
    <mergeCell ref="A1:K3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6"/>
  <sheetViews>
    <sheetView workbookViewId="0">
      <selection activeCell="B25" sqref="B25"/>
    </sheetView>
  </sheetViews>
  <sheetFormatPr defaultRowHeight="15" x14ac:dyDescent="0.25"/>
  <cols>
    <col min="1" max="1" width="13" customWidth="1"/>
    <col min="2" max="2" width="53.42578125" customWidth="1"/>
    <col min="3" max="3" width="12.42578125" customWidth="1"/>
    <col min="4" max="4" width="20.7109375" customWidth="1"/>
    <col min="5" max="5" width="23.85546875" customWidth="1"/>
    <col min="6" max="6" width="24.42578125" customWidth="1"/>
    <col min="7" max="7" width="24.28515625" customWidth="1"/>
    <col min="8" max="9" width="35.140625" customWidth="1"/>
    <col min="15" max="15" width="42.42578125" customWidth="1"/>
    <col min="16" max="16" width="34.285156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12.75" customHeight="1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5.5" customHeight="1" x14ac:dyDescent="0.3">
      <c r="A4" s="81" t="s">
        <v>342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SUM(C6:C35)</f>
        <v>2080</v>
      </c>
    </row>
    <row r="5" spans="1:16" ht="26.2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SUM(E6:E35)</f>
        <v>0</v>
      </c>
    </row>
    <row r="6" spans="1:16" ht="23.25" customHeight="1" x14ac:dyDescent="0.25">
      <c r="A6" s="6">
        <v>45901</v>
      </c>
      <c r="B6" s="5" t="s">
        <v>47</v>
      </c>
      <c r="C6" s="3">
        <v>0</v>
      </c>
      <c r="D6" s="7"/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45902</v>
      </c>
      <c r="B7" s="5" t="s">
        <v>47</v>
      </c>
      <c r="C7" s="3">
        <v>0</v>
      </c>
      <c r="D7" s="7"/>
      <c r="E7" s="8">
        <v>0</v>
      </c>
      <c r="F7" s="28">
        <v>0</v>
      </c>
      <c r="G7" s="30">
        <v>0</v>
      </c>
      <c r="H7" s="31">
        <v>0</v>
      </c>
      <c r="I7" s="9">
        <f t="shared" ref="I7:I35" si="0">G7*0.9</f>
        <v>0</v>
      </c>
      <c r="O7" s="13" t="s">
        <v>54</v>
      </c>
      <c r="P7" s="14">
        <f>SUM(F36+G36)</f>
        <v>527.70000000000005</v>
      </c>
    </row>
    <row r="8" spans="1:16" x14ac:dyDescent="0.25">
      <c r="A8" s="6">
        <v>45903</v>
      </c>
      <c r="B8" s="5" t="s">
        <v>47</v>
      </c>
      <c r="C8" s="3">
        <v>0</v>
      </c>
      <c r="D8" s="7"/>
      <c r="E8" s="8">
        <v>0</v>
      </c>
      <c r="F8" s="28">
        <v>0</v>
      </c>
      <c r="G8" s="30">
        <v>0</v>
      </c>
      <c r="H8" s="31">
        <f t="shared" ref="H8:H35" si="1">F8*0.85</f>
        <v>0</v>
      </c>
      <c r="I8" s="9">
        <f t="shared" si="0"/>
        <v>0</v>
      </c>
      <c r="O8" s="20" t="s">
        <v>18</v>
      </c>
      <c r="P8" s="21">
        <f>SUM(P5+P4)</f>
        <v>2080</v>
      </c>
    </row>
    <row r="9" spans="1:16" x14ac:dyDescent="0.25">
      <c r="A9" s="6">
        <v>45904</v>
      </c>
      <c r="B9" s="5" t="s">
        <v>47</v>
      </c>
      <c r="C9" s="3">
        <v>0</v>
      </c>
      <c r="D9" s="7"/>
      <c r="E9" s="8">
        <v>0</v>
      </c>
      <c r="F9" s="28">
        <v>0</v>
      </c>
      <c r="G9" s="30">
        <v>0</v>
      </c>
      <c r="H9" s="31">
        <f t="shared" si="1"/>
        <v>0</v>
      </c>
      <c r="I9" s="9">
        <f t="shared" si="0"/>
        <v>0</v>
      </c>
      <c r="O9" s="22" t="s">
        <v>21</v>
      </c>
      <c r="P9" s="33">
        <f>SUM(H6:H35)</f>
        <v>448.54499999999996</v>
      </c>
    </row>
    <row r="10" spans="1:16" x14ac:dyDescent="0.25">
      <c r="A10" s="6">
        <v>45905</v>
      </c>
      <c r="B10" s="5" t="s">
        <v>47</v>
      </c>
      <c r="C10" s="3">
        <v>0</v>
      </c>
      <c r="D10" s="7"/>
      <c r="E10" s="8">
        <v>0</v>
      </c>
      <c r="F10" s="28">
        <v>0</v>
      </c>
      <c r="G10" s="30">
        <v>0</v>
      </c>
      <c r="H10" s="31">
        <f t="shared" si="1"/>
        <v>0</v>
      </c>
      <c r="I10" s="9">
        <f t="shared" si="0"/>
        <v>0</v>
      </c>
      <c r="O10" s="23" t="s">
        <v>22</v>
      </c>
      <c r="P10" s="9">
        <f>SUM(I6:I35)</f>
        <v>0</v>
      </c>
    </row>
    <row r="11" spans="1:16" x14ac:dyDescent="0.25">
      <c r="A11" s="6">
        <v>45906</v>
      </c>
      <c r="B11" s="5" t="s">
        <v>343</v>
      </c>
      <c r="C11" s="3">
        <v>150</v>
      </c>
      <c r="D11" s="7"/>
      <c r="E11" s="8">
        <v>0</v>
      </c>
      <c r="F11" s="28">
        <v>110</v>
      </c>
      <c r="G11" s="30">
        <v>0</v>
      </c>
      <c r="H11" s="31">
        <f t="shared" si="1"/>
        <v>93.5</v>
      </c>
      <c r="I11" s="9">
        <f t="shared" si="0"/>
        <v>0</v>
      </c>
      <c r="O11" s="24" t="s">
        <v>24</v>
      </c>
      <c r="P11" s="34">
        <f>P9+P10</f>
        <v>448.54499999999996</v>
      </c>
    </row>
    <row r="12" spans="1:16" ht="15.75" customHeight="1" x14ac:dyDescent="0.25">
      <c r="A12" s="6">
        <v>45907</v>
      </c>
      <c r="B12" s="5" t="s">
        <v>344</v>
      </c>
      <c r="C12" s="3">
        <v>240</v>
      </c>
      <c r="D12" s="7"/>
      <c r="E12" s="8">
        <v>0</v>
      </c>
      <c r="F12" s="28">
        <v>166.6</v>
      </c>
      <c r="G12" s="30">
        <v>0</v>
      </c>
      <c r="H12" s="31">
        <f t="shared" si="1"/>
        <v>141.60999999999999</v>
      </c>
      <c r="I12" s="9">
        <f t="shared" si="0"/>
        <v>0</v>
      </c>
      <c r="O12" s="25" t="s">
        <v>67</v>
      </c>
      <c r="P12" s="26">
        <f>SUM(P8+P11)</f>
        <v>2528.5450000000001</v>
      </c>
    </row>
    <row r="13" spans="1:16" x14ac:dyDescent="0.25">
      <c r="A13" s="6">
        <v>45908</v>
      </c>
      <c r="B13" s="5" t="s">
        <v>345</v>
      </c>
      <c r="C13" s="3">
        <v>360</v>
      </c>
      <c r="D13" s="7"/>
      <c r="E13" s="8">
        <v>0</v>
      </c>
      <c r="F13" s="28">
        <v>166.6</v>
      </c>
      <c r="G13" s="30">
        <v>0</v>
      </c>
      <c r="H13" s="31">
        <f t="shared" si="1"/>
        <v>141.60999999999999</v>
      </c>
      <c r="I13" s="9">
        <f t="shared" si="0"/>
        <v>0</v>
      </c>
    </row>
    <row r="14" spans="1:16" x14ac:dyDescent="0.25">
      <c r="A14" s="6">
        <v>45909</v>
      </c>
      <c r="B14" s="5" t="s">
        <v>47</v>
      </c>
      <c r="C14" s="3">
        <v>0</v>
      </c>
      <c r="D14" s="7"/>
      <c r="E14" s="8">
        <v>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45910</v>
      </c>
      <c r="B15" s="5" t="s">
        <v>47</v>
      </c>
      <c r="C15" s="3">
        <v>0</v>
      </c>
      <c r="D15" s="7"/>
      <c r="E15" s="8">
        <v>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45911</v>
      </c>
      <c r="B16" s="5" t="s">
        <v>344</v>
      </c>
      <c r="C16" s="3">
        <v>240</v>
      </c>
      <c r="D16" s="7"/>
      <c r="E16" s="8">
        <v>0</v>
      </c>
      <c r="F16" s="28">
        <v>84.5</v>
      </c>
      <c r="G16" s="30">
        <v>0</v>
      </c>
      <c r="H16" s="31">
        <f t="shared" si="1"/>
        <v>71.825000000000003</v>
      </c>
      <c r="I16" s="9">
        <f t="shared" si="0"/>
        <v>0</v>
      </c>
    </row>
    <row r="17" spans="1:9" x14ac:dyDescent="0.25">
      <c r="A17" s="6">
        <v>45912</v>
      </c>
      <c r="B17" s="5" t="s">
        <v>346</v>
      </c>
      <c r="C17" s="3">
        <v>290</v>
      </c>
      <c r="D17" s="7"/>
      <c r="E17" s="8">
        <v>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45913</v>
      </c>
      <c r="B18" s="5" t="s">
        <v>347</v>
      </c>
      <c r="C18" s="3">
        <v>220</v>
      </c>
      <c r="D18" s="7"/>
      <c r="E18" s="8">
        <v>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45914</v>
      </c>
      <c r="B19" s="5" t="s">
        <v>348</v>
      </c>
      <c r="C19" s="3">
        <v>100</v>
      </c>
      <c r="D19" s="7"/>
      <c r="E19" s="8">
        <v>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45915</v>
      </c>
      <c r="B20" s="5" t="s">
        <v>47</v>
      </c>
      <c r="C20" s="3">
        <v>0</v>
      </c>
      <c r="D20" s="7"/>
      <c r="E20" s="8">
        <v>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45916</v>
      </c>
      <c r="B21" s="5" t="s">
        <v>47</v>
      </c>
      <c r="C21" s="3">
        <v>0</v>
      </c>
      <c r="D21" s="7"/>
      <c r="E21" s="8">
        <v>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45917</v>
      </c>
      <c r="B22" s="5" t="s">
        <v>349</v>
      </c>
      <c r="C22" s="3">
        <v>120</v>
      </c>
      <c r="D22" s="7"/>
      <c r="E22" s="8">
        <v>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45918</v>
      </c>
      <c r="B23" s="5" t="s">
        <v>187</v>
      </c>
      <c r="C23" s="3">
        <v>240</v>
      </c>
      <c r="D23" s="7"/>
      <c r="E23" s="8">
        <v>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45919</v>
      </c>
      <c r="B24" s="5" t="s">
        <v>256</v>
      </c>
      <c r="C24" s="3">
        <v>120</v>
      </c>
      <c r="D24" s="7"/>
      <c r="E24" s="8">
        <v>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45920</v>
      </c>
      <c r="B25" s="5"/>
      <c r="C25" s="3">
        <v>0</v>
      </c>
      <c r="D25" s="7"/>
      <c r="E25" s="8">
        <v>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45921</v>
      </c>
      <c r="B26" s="5"/>
      <c r="C26" s="3">
        <v>0</v>
      </c>
      <c r="D26" s="7"/>
      <c r="E26" s="8">
        <v>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45922</v>
      </c>
      <c r="B27" s="5"/>
      <c r="C27" s="3">
        <v>0</v>
      </c>
      <c r="D27" s="7"/>
      <c r="E27" s="8">
        <v>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45923</v>
      </c>
      <c r="B28" s="5"/>
      <c r="C28" s="3">
        <v>0</v>
      </c>
      <c r="D28" s="7"/>
      <c r="E28" s="8">
        <v>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45924</v>
      </c>
      <c r="B29" s="5"/>
      <c r="C29" s="3">
        <v>0</v>
      </c>
      <c r="D29" s="7"/>
      <c r="E29" s="8">
        <v>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45925</v>
      </c>
      <c r="B30" s="5"/>
      <c r="C30" s="3">
        <v>0</v>
      </c>
      <c r="D30" s="7"/>
      <c r="E30" s="8">
        <v>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45926</v>
      </c>
      <c r="B31" s="5"/>
      <c r="C31" s="3">
        <v>0</v>
      </c>
      <c r="D31" s="7"/>
      <c r="E31" s="8">
        <v>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45927</v>
      </c>
      <c r="B32" s="5"/>
      <c r="C32" s="3">
        <v>0</v>
      </c>
      <c r="D32" s="7"/>
      <c r="E32" s="8">
        <v>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45928</v>
      </c>
      <c r="B33" s="5"/>
      <c r="C33" s="3">
        <v>0</v>
      </c>
      <c r="D33" s="7"/>
      <c r="E33" s="8">
        <v>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45929</v>
      </c>
      <c r="B34" s="5"/>
      <c r="C34" s="3">
        <v>0</v>
      </c>
      <c r="D34" s="7"/>
      <c r="E34" s="8">
        <v>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45930</v>
      </c>
      <c r="B35" s="5"/>
      <c r="C35" s="3">
        <v>0</v>
      </c>
      <c r="D35" s="7"/>
      <c r="E35" s="8">
        <v>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36"/>
      <c r="B36" s="36"/>
      <c r="C36" s="36"/>
      <c r="D36" s="36"/>
      <c r="E36" s="36"/>
      <c r="F36" s="37">
        <f>SUM(F6:F35)</f>
        <v>527.70000000000005</v>
      </c>
      <c r="G36" s="37">
        <f>SUM(G6:G35)</f>
        <v>0</v>
      </c>
      <c r="H36" s="36"/>
      <c r="I36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abSelected="1" workbookViewId="0">
      <selection activeCell="B11" sqref="B11"/>
    </sheetView>
  </sheetViews>
  <sheetFormatPr defaultRowHeight="15" x14ac:dyDescent="0.25"/>
  <cols>
    <col min="1" max="1" width="11" customWidth="1"/>
    <col min="2" max="2" width="36.85546875" customWidth="1"/>
    <col min="3" max="3" width="13" customWidth="1"/>
    <col min="4" max="4" width="13.28515625" customWidth="1"/>
    <col min="5" max="5" width="22.140625" customWidth="1"/>
    <col min="6" max="6" width="24.140625" customWidth="1"/>
    <col min="7" max="7" width="23.7109375" customWidth="1"/>
    <col min="8" max="8" width="35.140625" customWidth="1"/>
    <col min="9" max="9" width="34.85546875" customWidth="1"/>
    <col min="10" max="10" width="17.140625" customWidth="1"/>
  </cols>
  <sheetData>
    <row r="1" spans="1:10" ht="30" x14ac:dyDescent="0.25">
      <c r="A1" s="44" t="s">
        <v>358</v>
      </c>
      <c r="B1" s="45" t="s">
        <v>357</v>
      </c>
      <c r="C1" s="46" t="s">
        <v>356</v>
      </c>
      <c r="D1" s="47" t="s">
        <v>355</v>
      </c>
      <c r="E1" s="48" t="s">
        <v>6</v>
      </c>
      <c r="F1" s="49" t="s">
        <v>359</v>
      </c>
      <c r="G1" s="50" t="s">
        <v>360</v>
      </c>
      <c r="H1" s="51" t="s">
        <v>9</v>
      </c>
      <c r="I1" s="50" t="s">
        <v>10</v>
      </c>
      <c r="J1" s="68" t="s">
        <v>350</v>
      </c>
    </row>
    <row r="2" spans="1:10" x14ac:dyDescent="0.25">
      <c r="A2" s="52">
        <v>45231</v>
      </c>
      <c r="B2" s="53"/>
      <c r="C2" s="54">
        <v>0</v>
      </c>
      <c r="D2" s="55" t="s">
        <v>13</v>
      </c>
      <c r="E2" s="56">
        <v>0</v>
      </c>
      <c r="F2" s="57">
        <v>0</v>
      </c>
      <c r="G2" s="58">
        <v>0</v>
      </c>
      <c r="H2" s="59">
        <f>F2*0.85</f>
        <v>0</v>
      </c>
      <c r="I2" s="60">
        <f>G2*0.9</f>
        <v>0</v>
      </c>
      <c r="J2" s="65"/>
    </row>
    <row r="3" spans="1:10" x14ac:dyDescent="0.25">
      <c r="A3" s="52">
        <v>45232</v>
      </c>
      <c r="B3" s="53"/>
      <c r="C3" s="54">
        <v>0</v>
      </c>
      <c r="D3" s="55" t="s">
        <v>13</v>
      </c>
      <c r="E3" s="56">
        <v>0</v>
      </c>
      <c r="F3" s="57">
        <v>0</v>
      </c>
      <c r="G3" s="58">
        <v>0</v>
      </c>
      <c r="H3" s="59">
        <f t="shared" ref="H3:H31" si="0">F3*0.85</f>
        <v>0</v>
      </c>
      <c r="I3" s="60">
        <f t="shared" ref="I3:I31" si="1">G3*0.9</f>
        <v>0</v>
      </c>
      <c r="J3" s="65"/>
    </row>
    <row r="4" spans="1:10" x14ac:dyDescent="0.25">
      <c r="A4" s="52">
        <v>45233</v>
      </c>
      <c r="B4" s="53"/>
      <c r="C4" s="54">
        <v>0</v>
      </c>
      <c r="D4" s="55" t="s">
        <v>13</v>
      </c>
      <c r="E4" s="56">
        <v>0</v>
      </c>
      <c r="F4" s="57">
        <v>0</v>
      </c>
      <c r="G4" s="58">
        <v>0</v>
      </c>
      <c r="H4" s="59">
        <f t="shared" si="0"/>
        <v>0</v>
      </c>
      <c r="I4" s="60">
        <f t="shared" si="1"/>
        <v>0</v>
      </c>
      <c r="J4" s="65"/>
    </row>
    <row r="5" spans="1:10" x14ac:dyDescent="0.25">
      <c r="A5" s="52">
        <v>45234</v>
      </c>
      <c r="B5" s="53"/>
      <c r="C5" s="54">
        <v>0</v>
      </c>
      <c r="D5" s="55" t="s">
        <v>13</v>
      </c>
      <c r="E5" s="56">
        <v>0</v>
      </c>
      <c r="F5" s="57">
        <v>0</v>
      </c>
      <c r="G5" s="58">
        <v>0</v>
      </c>
      <c r="H5" s="59">
        <f t="shared" si="0"/>
        <v>0</v>
      </c>
      <c r="I5" s="60">
        <f t="shared" si="1"/>
        <v>0</v>
      </c>
      <c r="J5" s="65"/>
    </row>
    <row r="6" spans="1:10" x14ac:dyDescent="0.25">
      <c r="A6" s="52">
        <v>45235</v>
      </c>
      <c r="B6" s="53"/>
      <c r="C6" s="54">
        <v>0</v>
      </c>
      <c r="D6" s="55" t="s">
        <v>13</v>
      </c>
      <c r="E6" s="56">
        <v>0</v>
      </c>
      <c r="F6" s="57">
        <v>0</v>
      </c>
      <c r="G6" s="58">
        <v>0</v>
      </c>
      <c r="H6" s="59">
        <f t="shared" si="0"/>
        <v>0</v>
      </c>
      <c r="I6" s="60">
        <f t="shared" si="1"/>
        <v>0</v>
      </c>
      <c r="J6" s="65"/>
    </row>
    <row r="7" spans="1:10" x14ac:dyDescent="0.25">
      <c r="A7" s="52">
        <v>45236</v>
      </c>
      <c r="B7" s="53" t="s">
        <v>129</v>
      </c>
      <c r="C7" s="54">
        <v>70</v>
      </c>
      <c r="D7" s="55" t="s">
        <v>20</v>
      </c>
      <c r="E7" s="56">
        <v>12.6</v>
      </c>
      <c r="F7" s="57">
        <v>130</v>
      </c>
      <c r="G7" s="58">
        <v>0</v>
      </c>
      <c r="H7" s="59">
        <f t="shared" si="0"/>
        <v>110.5</v>
      </c>
      <c r="I7" s="60">
        <f t="shared" si="1"/>
        <v>0</v>
      </c>
      <c r="J7" s="65" t="s">
        <v>351</v>
      </c>
    </row>
    <row r="8" spans="1:10" x14ac:dyDescent="0.25">
      <c r="A8" s="52">
        <v>45237</v>
      </c>
      <c r="B8" s="53" t="s">
        <v>129</v>
      </c>
      <c r="C8" s="54">
        <v>70</v>
      </c>
      <c r="D8" s="55" t="s">
        <v>13</v>
      </c>
      <c r="E8" s="56">
        <v>0</v>
      </c>
      <c r="F8" s="57">
        <v>70</v>
      </c>
      <c r="G8" s="58">
        <v>0</v>
      </c>
      <c r="H8" s="59">
        <f t="shared" si="0"/>
        <v>59.5</v>
      </c>
      <c r="I8" s="60">
        <f t="shared" si="1"/>
        <v>0</v>
      </c>
      <c r="J8" s="65" t="s">
        <v>351</v>
      </c>
    </row>
    <row r="9" spans="1:10" x14ac:dyDescent="0.25">
      <c r="A9" s="52">
        <v>45238</v>
      </c>
      <c r="B9" s="53" t="s">
        <v>23</v>
      </c>
      <c r="C9" s="54">
        <v>100</v>
      </c>
      <c r="D9" s="55" t="s">
        <v>13</v>
      </c>
      <c r="E9" s="56">
        <v>0</v>
      </c>
      <c r="F9" s="57">
        <v>0</v>
      </c>
      <c r="G9" s="58">
        <v>0</v>
      </c>
      <c r="H9" s="59">
        <f t="shared" si="0"/>
        <v>0</v>
      </c>
      <c r="I9" s="60">
        <f t="shared" si="1"/>
        <v>0</v>
      </c>
      <c r="J9" s="65" t="s">
        <v>353</v>
      </c>
    </row>
    <row r="10" spans="1:10" x14ac:dyDescent="0.25">
      <c r="A10" s="52">
        <v>45239</v>
      </c>
      <c r="B10" s="53" t="s">
        <v>129</v>
      </c>
      <c r="C10" s="54">
        <v>70</v>
      </c>
      <c r="D10" s="55" t="s">
        <v>25</v>
      </c>
      <c r="E10" s="56">
        <v>0</v>
      </c>
      <c r="F10" s="57">
        <v>100</v>
      </c>
      <c r="G10" s="58">
        <v>0</v>
      </c>
      <c r="H10" s="59">
        <f t="shared" si="0"/>
        <v>85</v>
      </c>
      <c r="I10" s="60">
        <f t="shared" si="1"/>
        <v>0</v>
      </c>
      <c r="J10" s="65" t="s">
        <v>352</v>
      </c>
    </row>
    <row r="11" spans="1:10" x14ac:dyDescent="0.25">
      <c r="A11" s="52">
        <v>45240</v>
      </c>
      <c r="B11" s="53" t="s">
        <v>368</v>
      </c>
      <c r="C11" s="54">
        <v>100</v>
      </c>
      <c r="D11" s="55" t="s">
        <v>13</v>
      </c>
      <c r="E11" s="56">
        <v>0</v>
      </c>
      <c r="F11" s="57">
        <v>0</v>
      </c>
      <c r="G11" s="58">
        <v>0</v>
      </c>
      <c r="H11" s="59">
        <f t="shared" si="0"/>
        <v>0</v>
      </c>
      <c r="I11" s="60">
        <f t="shared" si="1"/>
        <v>0</v>
      </c>
      <c r="J11" s="65" t="s">
        <v>354</v>
      </c>
    </row>
    <row r="12" spans="1:10" x14ac:dyDescent="0.25">
      <c r="A12" s="52">
        <v>45241</v>
      </c>
      <c r="B12" s="53" t="s">
        <v>368</v>
      </c>
      <c r="C12" s="54">
        <v>100</v>
      </c>
      <c r="D12" s="55" t="s">
        <v>25</v>
      </c>
      <c r="E12" s="56">
        <v>0</v>
      </c>
      <c r="F12" s="57">
        <v>0</v>
      </c>
      <c r="G12" s="58">
        <v>0</v>
      </c>
      <c r="H12" s="59">
        <f t="shared" si="0"/>
        <v>0</v>
      </c>
      <c r="I12" s="60">
        <f t="shared" si="1"/>
        <v>0</v>
      </c>
      <c r="J12" s="65" t="s">
        <v>354</v>
      </c>
    </row>
    <row r="13" spans="1:10" x14ac:dyDescent="0.25">
      <c r="A13" s="52">
        <v>45242</v>
      </c>
      <c r="B13" s="53"/>
      <c r="C13" s="54">
        <v>0</v>
      </c>
      <c r="D13" s="55" t="s">
        <v>25</v>
      </c>
      <c r="E13" s="56">
        <v>0</v>
      </c>
      <c r="F13" s="57">
        <v>0</v>
      </c>
      <c r="G13" s="58">
        <v>0</v>
      </c>
      <c r="H13" s="59">
        <f t="shared" si="0"/>
        <v>0</v>
      </c>
      <c r="I13" s="60">
        <f t="shared" si="1"/>
        <v>0</v>
      </c>
      <c r="J13" s="65"/>
    </row>
    <row r="14" spans="1:10" x14ac:dyDescent="0.25">
      <c r="A14" s="52">
        <v>45243</v>
      </c>
      <c r="B14" s="53" t="s">
        <v>361</v>
      </c>
      <c r="C14" s="54">
        <v>160</v>
      </c>
      <c r="D14" s="55" t="s">
        <v>25</v>
      </c>
      <c r="E14" s="56">
        <v>0</v>
      </c>
      <c r="F14" s="57">
        <v>101</v>
      </c>
      <c r="G14" s="58">
        <v>0</v>
      </c>
      <c r="H14" s="59">
        <f t="shared" si="0"/>
        <v>85.85</v>
      </c>
      <c r="I14" s="60">
        <f t="shared" si="1"/>
        <v>0</v>
      </c>
      <c r="J14" s="65" t="s">
        <v>354</v>
      </c>
    </row>
    <row r="15" spans="1:10" x14ac:dyDescent="0.25">
      <c r="A15" s="52">
        <v>45244</v>
      </c>
      <c r="B15" s="53" t="s">
        <v>129</v>
      </c>
      <c r="C15" s="54">
        <v>70</v>
      </c>
      <c r="D15" s="55" t="s">
        <v>13</v>
      </c>
      <c r="E15" s="56">
        <v>0</v>
      </c>
      <c r="F15" s="57">
        <v>100</v>
      </c>
      <c r="G15" s="58">
        <v>0</v>
      </c>
      <c r="H15" s="59">
        <f t="shared" si="0"/>
        <v>85</v>
      </c>
      <c r="I15" s="60">
        <f t="shared" si="1"/>
        <v>0</v>
      </c>
      <c r="J15" s="65" t="s">
        <v>354</v>
      </c>
    </row>
    <row r="16" spans="1:10" x14ac:dyDescent="0.25">
      <c r="A16" s="52">
        <v>45245</v>
      </c>
      <c r="B16" s="53" t="s">
        <v>362</v>
      </c>
      <c r="C16" s="54">
        <v>120</v>
      </c>
      <c r="D16" s="55" t="s">
        <v>25</v>
      </c>
      <c r="E16" s="56">
        <v>0</v>
      </c>
      <c r="F16" s="57">
        <v>0</v>
      </c>
      <c r="G16" s="58">
        <v>112</v>
      </c>
      <c r="H16" s="59">
        <f t="shared" si="0"/>
        <v>0</v>
      </c>
      <c r="I16" s="60">
        <f t="shared" si="1"/>
        <v>100.8</v>
      </c>
      <c r="J16" s="65" t="s">
        <v>351</v>
      </c>
    </row>
    <row r="17" spans="1:10" x14ac:dyDescent="0.25">
      <c r="A17" s="52">
        <v>45246</v>
      </c>
      <c r="B17" s="53"/>
      <c r="C17" s="54">
        <v>0</v>
      </c>
      <c r="D17" s="55" t="s">
        <v>25</v>
      </c>
      <c r="E17" s="56">
        <v>0</v>
      </c>
      <c r="F17" s="57">
        <v>0</v>
      </c>
      <c r="G17" s="58">
        <v>0</v>
      </c>
      <c r="H17" s="59">
        <f t="shared" si="0"/>
        <v>0</v>
      </c>
      <c r="I17" s="60">
        <f t="shared" si="1"/>
        <v>0</v>
      </c>
      <c r="J17" s="65"/>
    </row>
    <row r="18" spans="1:10" x14ac:dyDescent="0.25">
      <c r="A18" s="52">
        <v>45247</v>
      </c>
      <c r="B18" s="53" t="s">
        <v>23</v>
      </c>
      <c r="C18" s="54">
        <v>100</v>
      </c>
      <c r="D18" s="55" t="s">
        <v>20</v>
      </c>
      <c r="E18" s="56">
        <v>6.4</v>
      </c>
      <c r="F18" s="57">
        <v>127</v>
      </c>
      <c r="G18" s="58">
        <v>0</v>
      </c>
      <c r="H18" s="59">
        <f t="shared" si="0"/>
        <v>107.95</v>
      </c>
      <c r="I18" s="60">
        <f t="shared" si="1"/>
        <v>0</v>
      </c>
      <c r="J18" s="65" t="s">
        <v>354</v>
      </c>
    </row>
    <row r="19" spans="1:10" ht="15.75" customHeight="1" x14ac:dyDescent="0.25">
      <c r="A19" s="52">
        <v>45248</v>
      </c>
      <c r="B19" s="66" t="s">
        <v>363</v>
      </c>
      <c r="C19" s="54">
        <v>240</v>
      </c>
      <c r="D19" s="55" t="s">
        <v>25</v>
      </c>
      <c r="E19" s="56">
        <v>0</v>
      </c>
      <c r="F19" s="57">
        <v>0</v>
      </c>
      <c r="G19" s="58">
        <v>185</v>
      </c>
      <c r="H19" s="59">
        <f t="shared" si="0"/>
        <v>0</v>
      </c>
      <c r="I19" s="60">
        <f t="shared" si="1"/>
        <v>166.5</v>
      </c>
      <c r="J19" s="65" t="s">
        <v>354</v>
      </c>
    </row>
    <row r="20" spans="1:10" x14ac:dyDescent="0.25">
      <c r="A20" s="52">
        <v>45249</v>
      </c>
      <c r="B20" s="53"/>
      <c r="C20" s="54">
        <v>0</v>
      </c>
      <c r="D20" s="55" t="s">
        <v>25</v>
      </c>
      <c r="E20" s="56">
        <v>0</v>
      </c>
      <c r="F20" s="57">
        <v>0</v>
      </c>
      <c r="G20" s="58">
        <v>0</v>
      </c>
      <c r="H20" s="59">
        <f t="shared" si="0"/>
        <v>0</v>
      </c>
      <c r="I20" s="60">
        <f t="shared" si="1"/>
        <v>0</v>
      </c>
      <c r="J20" s="65"/>
    </row>
    <row r="21" spans="1:10" x14ac:dyDescent="0.25">
      <c r="A21" s="52">
        <v>45250</v>
      </c>
      <c r="B21" s="53"/>
      <c r="C21" s="54">
        <v>0</v>
      </c>
      <c r="D21" s="55" t="s">
        <v>13</v>
      </c>
      <c r="E21" s="56">
        <v>0</v>
      </c>
      <c r="F21" s="57">
        <v>0</v>
      </c>
      <c r="G21" s="58">
        <v>0</v>
      </c>
      <c r="H21" s="59">
        <f t="shared" si="0"/>
        <v>0</v>
      </c>
      <c r="I21" s="60">
        <f t="shared" si="1"/>
        <v>0</v>
      </c>
      <c r="J21" s="65"/>
    </row>
    <row r="22" spans="1:10" x14ac:dyDescent="0.25">
      <c r="A22" s="52">
        <v>45251</v>
      </c>
      <c r="B22" s="53"/>
      <c r="C22" s="54">
        <v>0</v>
      </c>
      <c r="D22" s="55" t="s">
        <v>25</v>
      </c>
      <c r="E22" s="56">
        <v>0</v>
      </c>
      <c r="F22" s="57">
        <v>0</v>
      </c>
      <c r="G22" s="58">
        <v>0</v>
      </c>
      <c r="H22" s="59">
        <f t="shared" si="0"/>
        <v>0</v>
      </c>
      <c r="I22" s="60">
        <f t="shared" si="1"/>
        <v>0</v>
      </c>
      <c r="J22" s="65"/>
    </row>
    <row r="23" spans="1:10" x14ac:dyDescent="0.25">
      <c r="A23" s="52">
        <v>45252</v>
      </c>
      <c r="B23" s="53" t="s">
        <v>23</v>
      </c>
      <c r="C23" s="54">
        <v>100</v>
      </c>
      <c r="D23" s="55" t="s">
        <v>13</v>
      </c>
      <c r="E23" s="56">
        <v>0</v>
      </c>
      <c r="F23" s="57">
        <v>100</v>
      </c>
      <c r="G23" s="58">
        <v>0</v>
      </c>
      <c r="H23" s="59">
        <f t="shared" si="0"/>
        <v>85</v>
      </c>
      <c r="I23" s="60">
        <f t="shared" si="1"/>
        <v>0</v>
      </c>
      <c r="J23" s="65" t="s">
        <v>352</v>
      </c>
    </row>
    <row r="24" spans="1:10" x14ac:dyDescent="0.25">
      <c r="A24" s="52">
        <v>45253</v>
      </c>
      <c r="B24" s="53" t="s">
        <v>32</v>
      </c>
      <c r="C24" s="54">
        <v>100</v>
      </c>
      <c r="D24" s="55" t="s">
        <v>25</v>
      </c>
      <c r="E24" s="56">
        <v>0</v>
      </c>
      <c r="F24" s="57">
        <v>74.900000000000006</v>
      </c>
      <c r="G24" s="58">
        <v>0</v>
      </c>
      <c r="H24" s="59">
        <f t="shared" si="0"/>
        <v>63.665000000000006</v>
      </c>
      <c r="I24" s="60">
        <f t="shared" si="1"/>
        <v>0</v>
      </c>
      <c r="J24" s="65" t="s">
        <v>351</v>
      </c>
    </row>
    <row r="25" spans="1:10" x14ac:dyDescent="0.25">
      <c r="A25" s="52">
        <v>45254</v>
      </c>
      <c r="B25" s="53" t="s">
        <v>23</v>
      </c>
      <c r="C25" s="54">
        <v>100</v>
      </c>
      <c r="D25" s="55" t="s">
        <v>25</v>
      </c>
      <c r="E25" s="56">
        <v>0</v>
      </c>
      <c r="F25" s="57">
        <v>0</v>
      </c>
      <c r="G25" s="58">
        <v>0</v>
      </c>
      <c r="H25" s="59">
        <f t="shared" si="0"/>
        <v>0</v>
      </c>
      <c r="I25" s="60">
        <f t="shared" si="1"/>
        <v>0</v>
      </c>
      <c r="J25" s="65" t="s">
        <v>354</v>
      </c>
    </row>
    <row r="26" spans="1:10" x14ac:dyDescent="0.25">
      <c r="A26" s="52">
        <v>45255</v>
      </c>
      <c r="B26" s="53"/>
      <c r="C26" s="54">
        <v>0</v>
      </c>
      <c r="D26" s="55" t="s">
        <v>25</v>
      </c>
      <c r="E26" s="56">
        <v>0</v>
      </c>
      <c r="F26" s="57">
        <v>0</v>
      </c>
      <c r="G26" s="58">
        <v>0</v>
      </c>
      <c r="H26" s="59">
        <f t="shared" si="0"/>
        <v>0</v>
      </c>
      <c r="I26" s="60">
        <f t="shared" si="1"/>
        <v>0</v>
      </c>
      <c r="J26" s="65"/>
    </row>
    <row r="27" spans="1:10" x14ac:dyDescent="0.25">
      <c r="A27" s="52">
        <v>45256</v>
      </c>
      <c r="B27" s="53"/>
      <c r="C27" s="54">
        <v>0</v>
      </c>
      <c r="D27" s="55" t="s">
        <v>25</v>
      </c>
      <c r="E27" s="56">
        <v>0</v>
      </c>
      <c r="F27" s="57">
        <v>0</v>
      </c>
      <c r="G27" s="58">
        <v>0</v>
      </c>
      <c r="H27" s="59">
        <f t="shared" si="0"/>
        <v>0</v>
      </c>
      <c r="I27" s="60">
        <f t="shared" si="1"/>
        <v>0</v>
      </c>
      <c r="J27" s="65"/>
    </row>
    <row r="28" spans="1:10" x14ac:dyDescent="0.25">
      <c r="A28" s="52">
        <v>45257</v>
      </c>
      <c r="B28" s="53"/>
      <c r="C28" s="54">
        <v>0</v>
      </c>
      <c r="D28" s="55" t="s">
        <v>25</v>
      </c>
      <c r="E28" s="56">
        <v>0</v>
      </c>
      <c r="F28" s="57">
        <v>0</v>
      </c>
      <c r="G28" s="58">
        <v>0</v>
      </c>
      <c r="H28" s="59">
        <f t="shared" si="0"/>
        <v>0</v>
      </c>
      <c r="I28" s="60">
        <f t="shared" si="1"/>
        <v>0</v>
      </c>
      <c r="J28" s="65"/>
    </row>
    <row r="29" spans="1:10" x14ac:dyDescent="0.25">
      <c r="A29" s="52">
        <v>45258</v>
      </c>
      <c r="B29" s="53" t="s">
        <v>364</v>
      </c>
      <c r="C29" s="54">
        <v>120</v>
      </c>
      <c r="D29" s="55" t="s">
        <v>34</v>
      </c>
      <c r="E29" s="56">
        <v>20</v>
      </c>
      <c r="F29" s="57">
        <v>0</v>
      </c>
      <c r="G29" s="58">
        <v>0</v>
      </c>
      <c r="H29" s="59">
        <f t="shared" si="0"/>
        <v>0</v>
      </c>
      <c r="I29" s="60">
        <f t="shared" si="1"/>
        <v>0</v>
      </c>
      <c r="J29" s="65" t="s">
        <v>354</v>
      </c>
    </row>
    <row r="30" spans="1:10" x14ac:dyDescent="0.25">
      <c r="A30" s="52">
        <v>45259</v>
      </c>
      <c r="B30" s="53"/>
      <c r="C30" s="54">
        <v>0</v>
      </c>
      <c r="D30" s="55" t="s">
        <v>25</v>
      </c>
      <c r="E30" s="56">
        <v>0</v>
      </c>
      <c r="F30" s="57">
        <v>0</v>
      </c>
      <c r="G30" s="58">
        <v>0</v>
      </c>
      <c r="H30" s="59">
        <f t="shared" si="0"/>
        <v>0</v>
      </c>
      <c r="I30" s="60">
        <f t="shared" si="1"/>
        <v>0</v>
      </c>
      <c r="J30" s="65"/>
    </row>
    <row r="31" spans="1:10" x14ac:dyDescent="0.25">
      <c r="A31" s="52">
        <v>45260</v>
      </c>
      <c r="B31" s="67"/>
      <c r="C31" s="54">
        <v>0</v>
      </c>
      <c r="D31" s="55" t="s">
        <v>25</v>
      </c>
      <c r="E31" s="56">
        <v>0</v>
      </c>
      <c r="F31" s="57">
        <v>0</v>
      </c>
      <c r="G31" s="58">
        <v>0</v>
      </c>
      <c r="H31" s="59">
        <f t="shared" si="0"/>
        <v>0</v>
      </c>
      <c r="I31" s="60">
        <f t="shared" si="1"/>
        <v>0</v>
      </c>
      <c r="J31" s="65"/>
    </row>
    <row r="32" spans="1:10" x14ac:dyDescent="0.25">
      <c r="A32" s="52">
        <v>45261</v>
      </c>
      <c r="B32" s="53" t="s">
        <v>23</v>
      </c>
      <c r="C32" s="54">
        <v>100</v>
      </c>
      <c r="D32" s="55" t="s">
        <v>34</v>
      </c>
      <c r="E32" s="56">
        <v>20</v>
      </c>
      <c r="F32" s="57">
        <v>0</v>
      </c>
      <c r="G32" s="58">
        <v>0</v>
      </c>
      <c r="H32" s="59">
        <f>F32*0.85</f>
        <v>0</v>
      </c>
      <c r="I32" s="60">
        <f>G32*0.9</f>
        <v>0</v>
      </c>
      <c r="J32" s="65" t="s">
        <v>354</v>
      </c>
    </row>
    <row r="33" spans="1:10" x14ac:dyDescent="0.25">
      <c r="A33" s="52">
        <v>45262</v>
      </c>
      <c r="B33" s="53" t="s">
        <v>129</v>
      </c>
      <c r="C33" s="54">
        <v>260</v>
      </c>
      <c r="D33" s="55" t="s">
        <v>34</v>
      </c>
      <c r="E33" s="56">
        <v>20</v>
      </c>
      <c r="F33" s="57">
        <v>0</v>
      </c>
      <c r="G33" s="58">
        <v>121.8</v>
      </c>
      <c r="H33" s="59">
        <f t="shared" ref="H33:H62" si="2">F33*0.85</f>
        <v>0</v>
      </c>
      <c r="I33" s="60">
        <f t="shared" ref="I33:I62" si="3">G33*0.9</f>
        <v>109.62</v>
      </c>
      <c r="J33" s="65" t="s">
        <v>354</v>
      </c>
    </row>
    <row r="34" spans="1:10" x14ac:dyDescent="0.25">
      <c r="A34" s="52">
        <v>45263</v>
      </c>
      <c r="B34" s="53"/>
      <c r="C34" s="54">
        <v>0</v>
      </c>
      <c r="D34" s="55" t="s">
        <v>13</v>
      </c>
      <c r="E34" s="56">
        <v>0</v>
      </c>
      <c r="F34" s="57">
        <v>0</v>
      </c>
      <c r="G34" s="58">
        <v>0</v>
      </c>
      <c r="H34" s="59">
        <f t="shared" si="2"/>
        <v>0</v>
      </c>
      <c r="I34" s="60">
        <f t="shared" si="3"/>
        <v>0</v>
      </c>
      <c r="J34" s="65"/>
    </row>
    <row r="35" spans="1:10" x14ac:dyDescent="0.25">
      <c r="A35" s="52">
        <v>45264</v>
      </c>
      <c r="B35" s="53" t="s">
        <v>50</v>
      </c>
      <c r="C35" s="54">
        <v>120</v>
      </c>
      <c r="D35" s="55" t="s">
        <v>34</v>
      </c>
      <c r="E35" s="56">
        <v>20</v>
      </c>
      <c r="F35" s="57">
        <v>0</v>
      </c>
      <c r="G35" s="58">
        <v>0</v>
      </c>
      <c r="H35" s="59">
        <f t="shared" si="2"/>
        <v>0</v>
      </c>
      <c r="I35" s="60">
        <f t="shared" si="3"/>
        <v>0</v>
      </c>
      <c r="J35" s="65" t="s">
        <v>354</v>
      </c>
    </row>
    <row r="36" spans="1:10" x14ac:dyDescent="0.25">
      <c r="A36" s="52">
        <v>45265</v>
      </c>
      <c r="B36" s="53" t="s">
        <v>365</v>
      </c>
      <c r="C36" s="54">
        <v>100</v>
      </c>
      <c r="D36" s="55" t="s">
        <v>13</v>
      </c>
      <c r="E36" s="56">
        <v>0</v>
      </c>
      <c r="F36" s="57">
        <v>0</v>
      </c>
      <c r="G36" s="58">
        <v>0</v>
      </c>
      <c r="H36" s="59">
        <f t="shared" si="2"/>
        <v>0</v>
      </c>
      <c r="I36" s="60">
        <f t="shared" si="3"/>
        <v>0</v>
      </c>
      <c r="J36" s="65" t="s">
        <v>354</v>
      </c>
    </row>
    <row r="37" spans="1:10" x14ac:dyDescent="0.25">
      <c r="A37" s="52">
        <v>45266</v>
      </c>
      <c r="B37" s="53" t="s">
        <v>366</v>
      </c>
      <c r="C37" s="54">
        <v>220</v>
      </c>
      <c r="D37" s="55" t="s">
        <v>13</v>
      </c>
      <c r="E37" s="56">
        <v>0</v>
      </c>
      <c r="F37" s="57">
        <v>27</v>
      </c>
      <c r="G37" s="58">
        <v>0</v>
      </c>
      <c r="H37" s="59">
        <f t="shared" si="2"/>
        <v>22.95</v>
      </c>
      <c r="I37" s="60">
        <f t="shared" si="3"/>
        <v>0</v>
      </c>
      <c r="J37" s="65"/>
    </row>
    <row r="38" spans="1:10" x14ac:dyDescent="0.25">
      <c r="A38" s="52">
        <v>45267</v>
      </c>
      <c r="B38" s="53"/>
      <c r="C38" s="54">
        <v>0</v>
      </c>
      <c r="D38" s="55" t="s">
        <v>13</v>
      </c>
      <c r="E38" s="56">
        <v>0</v>
      </c>
      <c r="F38" s="57">
        <v>0</v>
      </c>
      <c r="G38" s="58">
        <v>0</v>
      </c>
      <c r="H38" s="59">
        <f t="shared" si="2"/>
        <v>0</v>
      </c>
      <c r="I38" s="60">
        <f t="shared" si="3"/>
        <v>0</v>
      </c>
      <c r="J38" s="65"/>
    </row>
    <row r="39" spans="1:10" x14ac:dyDescent="0.25">
      <c r="A39" s="52">
        <v>45268</v>
      </c>
      <c r="B39" s="53"/>
      <c r="C39" s="54">
        <v>0</v>
      </c>
      <c r="D39" s="55" t="s">
        <v>13</v>
      </c>
      <c r="E39" s="56">
        <v>0</v>
      </c>
      <c r="F39" s="57">
        <v>0</v>
      </c>
      <c r="G39" s="58">
        <v>0</v>
      </c>
      <c r="H39" s="59">
        <f t="shared" si="2"/>
        <v>0</v>
      </c>
      <c r="I39" s="60">
        <f t="shared" si="3"/>
        <v>0</v>
      </c>
      <c r="J39" s="65"/>
    </row>
    <row r="40" spans="1:10" x14ac:dyDescent="0.25">
      <c r="A40" s="52">
        <v>45269</v>
      </c>
      <c r="B40" s="53" t="s">
        <v>366</v>
      </c>
      <c r="C40" s="54">
        <v>200</v>
      </c>
      <c r="D40" s="55" t="s">
        <v>13</v>
      </c>
      <c r="E40" s="56">
        <v>0</v>
      </c>
      <c r="F40" s="57">
        <v>84.8</v>
      </c>
      <c r="G40" s="58">
        <v>0</v>
      </c>
      <c r="H40" s="59">
        <f t="shared" si="2"/>
        <v>72.08</v>
      </c>
      <c r="I40" s="60">
        <f t="shared" si="3"/>
        <v>0</v>
      </c>
      <c r="J40" s="65" t="s">
        <v>354</v>
      </c>
    </row>
    <row r="41" spans="1:10" x14ac:dyDescent="0.25">
      <c r="A41" s="52">
        <v>45270</v>
      </c>
      <c r="B41" s="53"/>
      <c r="C41" s="54">
        <v>0</v>
      </c>
      <c r="D41" s="55" t="s">
        <v>13</v>
      </c>
      <c r="E41" s="56">
        <v>0</v>
      </c>
      <c r="F41" s="57">
        <v>0</v>
      </c>
      <c r="G41" s="58">
        <v>0</v>
      </c>
      <c r="H41" s="59">
        <f t="shared" si="2"/>
        <v>0</v>
      </c>
      <c r="I41" s="60">
        <f t="shared" si="3"/>
        <v>0</v>
      </c>
      <c r="J41" s="65"/>
    </row>
    <row r="42" spans="1:10" x14ac:dyDescent="0.25">
      <c r="A42" s="52">
        <v>45271</v>
      </c>
      <c r="B42" s="53"/>
      <c r="C42" s="54">
        <v>0</v>
      </c>
      <c r="D42" s="55" t="s">
        <v>13</v>
      </c>
      <c r="E42" s="56">
        <v>0</v>
      </c>
      <c r="F42" s="57">
        <v>0</v>
      </c>
      <c r="G42" s="58">
        <v>0</v>
      </c>
      <c r="H42" s="59">
        <f t="shared" si="2"/>
        <v>0</v>
      </c>
      <c r="I42" s="60">
        <f t="shared" si="3"/>
        <v>0</v>
      </c>
      <c r="J42" s="65"/>
    </row>
    <row r="43" spans="1:10" x14ac:dyDescent="0.25">
      <c r="A43" s="52">
        <v>45272</v>
      </c>
      <c r="B43" s="53"/>
      <c r="C43" s="54">
        <v>0</v>
      </c>
      <c r="D43" s="55" t="s">
        <v>13</v>
      </c>
      <c r="E43" s="56">
        <v>0</v>
      </c>
      <c r="F43" s="57">
        <v>0</v>
      </c>
      <c r="G43" s="58">
        <v>0</v>
      </c>
      <c r="H43" s="59">
        <f t="shared" si="2"/>
        <v>0</v>
      </c>
      <c r="I43" s="60">
        <f t="shared" si="3"/>
        <v>0</v>
      </c>
      <c r="J43" s="65"/>
    </row>
    <row r="44" spans="1:10" x14ac:dyDescent="0.25">
      <c r="A44" s="52">
        <v>45273</v>
      </c>
      <c r="B44" s="53" t="s">
        <v>23</v>
      </c>
      <c r="C44" s="54">
        <v>100</v>
      </c>
      <c r="D44" s="55" t="s">
        <v>34</v>
      </c>
      <c r="E44" s="56">
        <v>20</v>
      </c>
      <c r="F44" s="57">
        <v>0</v>
      </c>
      <c r="G44" s="58">
        <v>0</v>
      </c>
      <c r="H44" s="59">
        <f t="shared" si="2"/>
        <v>0</v>
      </c>
      <c r="I44" s="60">
        <f t="shared" si="3"/>
        <v>0</v>
      </c>
      <c r="J44" s="65" t="s">
        <v>354</v>
      </c>
    </row>
    <row r="45" spans="1:10" x14ac:dyDescent="0.25">
      <c r="A45" s="52">
        <v>45274</v>
      </c>
      <c r="B45" s="53"/>
      <c r="C45" s="54">
        <v>0</v>
      </c>
      <c r="D45" s="55" t="s">
        <v>13</v>
      </c>
      <c r="E45" s="56">
        <v>0</v>
      </c>
      <c r="F45" s="57">
        <v>0</v>
      </c>
      <c r="G45" s="58">
        <v>0</v>
      </c>
      <c r="H45" s="59">
        <f t="shared" si="2"/>
        <v>0</v>
      </c>
      <c r="I45" s="60">
        <f t="shared" si="3"/>
        <v>0</v>
      </c>
      <c r="J45" s="65" t="s">
        <v>354</v>
      </c>
    </row>
    <row r="46" spans="1:10" x14ac:dyDescent="0.25">
      <c r="A46" s="52">
        <v>45275</v>
      </c>
      <c r="B46" s="53" t="s">
        <v>367</v>
      </c>
      <c r="C46" s="54">
        <v>100</v>
      </c>
      <c r="D46" s="55" t="s">
        <v>13</v>
      </c>
      <c r="E46" s="56">
        <v>0</v>
      </c>
      <c r="F46" s="57">
        <v>107</v>
      </c>
      <c r="G46" s="58">
        <v>0</v>
      </c>
      <c r="H46" s="59">
        <f t="shared" si="2"/>
        <v>90.95</v>
      </c>
      <c r="I46" s="60">
        <f t="shared" si="3"/>
        <v>0</v>
      </c>
      <c r="J46" s="65" t="s">
        <v>352</v>
      </c>
    </row>
    <row r="47" spans="1:10" x14ac:dyDescent="0.25">
      <c r="A47" s="52">
        <v>45276</v>
      </c>
      <c r="B47" s="53"/>
      <c r="C47" s="54">
        <v>0</v>
      </c>
      <c r="D47" s="55" t="s">
        <v>13</v>
      </c>
      <c r="E47" s="56">
        <v>0</v>
      </c>
      <c r="F47" s="57">
        <v>0</v>
      </c>
      <c r="G47" s="58">
        <v>0</v>
      </c>
      <c r="H47" s="59">
        <f t="shared" si="2"/>
        <v>0</v>
      </c>
      <c r="I47" s="60">
        <f t="shared" si="3"/>
        <v>0</v>
      </c>
      <c r="J47" s="65"/>
    </row>
    <row r="48" spans="1:10" x14ac:dyDescent="0.25">
      <c r="A48" s="52">
        <v>45277</v>
      </c>
      <c r="B48" s="53"/>
      <c r="C48" s="54">
        <v>0</v>
      </c>
      <c r="D48" s="55" t="s">
        <v>13</v>
      </c>
      <c r="E48" s="56">
        <v>0</v>
      </c>
      <c r="F48" s="57">
        <v>0</v>
      </c>
      <c r="G48" s="58">
        <v>0</v>
      </c>
      <c r="H48" s="59">
        <f t="shared" si="2"/>
        <v>0</v>
      </c>
      <c r="I48" s="60">
        <f t="shared" si="3"/>
        <v>0</v>
      </c>
      <c r="J48" s="65"/>
    </row>
    <row r="49" spans="1:10" x14ac:dyDescent="0.25">
      <c r="A49" s="52">
        <v>45278</v>
      </c>
      <c r="B49" s="53"/>
      <c r="C49" s="54">
        <v>0</v>
      </c>
      <c r="D49" s="55" t="s">
        <v>13</v>
      </c>
      <c r="E49" s="56">
        <v>0</v>
      </c>
      <c r="F49" s="57">
        <v>0</v>
      </c>
      <c r="G49" s="58">
        <v>0</v>
      </c>
      <c r="H49" s="59">
        <f t="shared" si="2"/>
        <v>0</v>
      </c>
      <c r="I49" s="60">
        <f t="shared" si="3"/>
        <v>0</v>
      </c>
      <c r="J49" s="65"/>
    </row>
    <row r="50" spans="1:10" x14ac:dyDescent="0.25">
      <c r="A50" s="52">
        <v>45279</v>
      </c>
      <c r="B50" s="53"/>
      <c r="C50" s="54">
        <v>0</v>
      </c>
      <c r="D50" s="55" t="s">
        <v>13</v>
      </c>
      <c r="E50" s="56">
        <v>0</v>
      </c>
      <c r="F50" s="57">
        <v>0</v>
      </c>
      <c r="G50" s="58">
        <v>0</v>
      </c>
      <c r="H50" s="59">
        <f t="shared" si="2"/>
        <v>0</v>
      </c>
      <c r="I50" s="60">
        <f t="shared" si="3"/>
        <v>0</v>
      </c>
      <c r="J50" s="65"/>
    </row>
    <row r="51" spans="1:10" x14ac:dyDescent="0.25">
      <c r="A51" s="52">
        <v>45280</v>
      </c>
      <c r="B51" s="53" t="s">
        <v>365</v>
      </c>
      <c r="C51" s="54">
        <v>200</v>
      </c>
      <c r="D51" s="55" t="s">
        <v>43</v>
      </c>
      <c r="E51" s="56">
        <v>6.7</v>
      </c>
      <c r="F51" s="57">
        <v>123</v>
      </c>
      <c r="G51" s="58">
        <v>0</v>
      </c>
      <c r="H51" s="59">
        <f t="shared" si="2"/>
        <v>104.55</v>
      </c>
      <c r="I51" s="60">
        <f t="shared" si="3"/>
        <v>0</v>
      </c>
      <c r="J51" s="65" t="s">
        <v>351</v>
      </c>
    </row>
    <row r="52" spans="1:10" x14ac:dyDescent="0.25">
      <c r="A52" s="52">
        <v>45281</v>
      </c>
      <c r="B52" s="53"/>
      <c r="C52" s="54">
        <v>0</v>
      </c>
      <c r="D52" s="55" t="s">
        <v>13</v>
      </c>
      <c r="E52" s="56">
        <v>0</v>
      </c>
      <c r="F52" s="57">
        <v>0</v>
      </c>
      <c r="G52" s="58">
        <v>0</v>
      </c>
      <c r="H52" s="59">
        <f t="shared" si="2"/>
        <v>0</v>
      </c>
      <c r="I52" s="60">
        <f t="shared" si="3"/>
        <v>0</v>
      </c>
      <c r="J52" s="65" t="s">
        <v>354</v>
      </c>
    </row>
    <row r="53" spans="1:10" x14ac:dyDescent="0.25">
      <c r="A53" s="52">
        <v>45282</v>
      </c>
      <c r="B53" s="53" t="s">
        <v>361</v>
      </c>
      <c r="C53" s="54">
        <v>180</v>
      </c>
      <c r="D53" s="55" t="s">
        <v>34</v>
      </c>
      <c r="E53" s="56">
        <v>20</v>
      </c>
      <c r="F53" s="57">
        <v>55.7</v>
      </c>
      <c r="G53" s="58">
        <v>0</v>
      </c>
      <c r="H53" s="59">
        <f t="shared" si="2"/>
        <v>47.344999999999999</v>
      </c>
      <c r="I53" s="60">
        <f t="shared" si="3"/>
        <v>0</v>
      </c>
      <c r="J53" s="65"/>
    </row>
    <row r="54" spans="1:10" x14ac:dyDescent="0.25">
      <c r="A54" s="52">
        <v>45283</v>
      </c>
      <c r="B54" s="53"/>
      <c r="C54" s="54">
        <v>0</v>
      </c>
      <c r="D54" s="55" t="s">
        <v>13</v>
      </c>
      <c r="E54" s="56">
        <v>0</v>
      </c>
      <c r="F54" s="57">
        <v>0</v>
      </c>
      <c r="G54" s="58">
        <v>0</v>
      </c>
      <c r="H54" s="59">
        <f t="shared" si="2"/>
        <v>0</v>
      </c>
      <c r="I54" s="60">
        <f t="shared" si="3"/>
        <v>0</v>
      </c>
      <c r="J54" s="65"/>
    </row>
    <row r="55" spans="1:10" x14ac:dyDescent="0.25">
      <c r="A55" s="52">
        <v>45284</v>
      </c>
      <c r="B55" s="53"/>
      <c r="C55" s="54">
        <v>0</v>
      </c>
      <c r="D55" s="55" t="s">
        <v>13</v>
      </c>
      <c r="E55" s="56">
        <v>0</v>
      </c>
      <c r="F55" s="57">
        <v>0</v>
      </c>
      <c r="G55" s="58">
        <v>0</v>
      </c>
      <c r="H55" s="59">
        <f t="shared" si="2"/>
        <v>0</v>
      </c>
      <c r="I55" s="60">
        <f t="shared" si="3"/>
        <v>0</v>
      </c>
      <c r="J55" s="65"/>
    </row>
    <row r="56" spans="1:10" x14ac:dyDescent="0.25">
      <c r="A56" s="52">
        <v>45285</v>
      </c>
      <c r="B56" s="53"/>
      <c r="C56" s="54">
        <v>0</v>
      </c>
      <c r="D56" s="55" t="s">
        <v>13</v>
      </c>
      <c r="E56" s="56">
        <v>0</v>
      </c>
      <c r="F56" s="57">
        <v>0</v>
      </c>
      <c r="G56" s="58">
        <v>0</v>
      </c>
      <c r="H56" s="59">
        <f t="shared" si="2"/>
        <v>0</v>
      </c>
      <c r="I56" s="60">
        <f t="shared" si="3"/>
        <v>0</v>
      </c>
      <c r="J56" s="65"/>
    </row>
    <row r="57" spans="1:10" x14ac:dyDescent="0.25">
      <c r="A57" s="52">
        <v>45286</v>
      </c>
      <c r="B57" s="53"/>
      <c r="C57" s="54">
        <v>0</v>
      </c>
      <c r="D57" s="55" t="s">
        <v>13</v>
      </c>
      <c r="E57" s="56">
        <v>0</v>
      </c>
      <c r="F57" s="57">
        <v>0</v>
      </c>
      <c r="G57" s="58">
        <v>0</v>
      </c>
      <c r="H57" s="59">
        <f t="shared" si="2"/>
        <v>0</v>
      </c>
      <c r="I57" s="60">
        <f t="shared" si="3"/>
        <v>0</v>
      </c>
      <c r="J57" s="65"/>
    </row>
    <row r="58" spans="1:10" x14ac:dyDescent="0.25">
      <c r="A58" s="52">
        <v>45287</v>
      </c>
      <c r="B58" s="53"/>
      <c r="C58" s="54">
        <v>0</v>
      </c>
      <c r="D58" s="55" t="s">
        <v>13</v>
      </c>
      <c r="E58" s="56">
        <v>0</v>
      </c>
      <c r="F58" s="57">
        <v>0</v>
      </c>
      <c r="G58" s="58">
        <v>0</v>
      </c>
      <c r="H58" s="59">
        <f t="shared" si="2"/>
        <v>0</v>
      </c>
      <c r="I58" s="60">
        <f t="shared" si="3"/>
        <v>0</v>
      </c>
      <c r="J58" s="65"/>
    </row>
    <row r="59" spans="1:10" x14ac:dyDescent="0.25">
      <c r="A59" s="52">
        <v>45288</v>
      </c>
      <c r="B59" s="53" t="s">
        <v>23</v>
      </c>
      <c r="C59" s="54">
        <v>100</v>
      </c>
      <c r="D59" s="55" t="s">
        <v>34</v>
      </c>
      <c r="E59" s="56">
        <v>20</v>
      </c>
      <c r="F59" s="57">
        <v>0</v>
      </c>
      <c r="G59" s="58">
        <v>0</v>
      </c>
      <c r="H59" s="59">
        <f t="shared" si="2"/>
        <v>0</v>
      </c>
      <c r="I59" s="60">
        <f t="shared" si="3"/>
        <v>0</v>
      </c>
      <c r="J59" s="65" t="s">
        <v>352</v>
      </c>
    </row>
    <row r="60" spans="1:10" x14ac:dyDescent="0.25">
      <c r="A60" s="52">
        <v>45289</v>
      </c>
      <c r="B60" s="53" t="s">
        <v>23</v>
      </c>
      <c r="C60" s="54">
        <v>100</v>
      </c>
      <c r="D60" s="55" t="s">
        <v>13</v>
      </c>
      <c r="E60" s="56">
        <v>0</v>
      </c>
      <c r="F60" s="57">
        <v>0</v>
      </c>
      <c r="G60" s="58">
        <v>0</v>
      </c>
      <c r="H60" s="59">
        <f t="shared" si="2"/>
        <v>0</v>
      </c>
      <c r="I60" s="60">
        <f t="shared" si="3"/>
        <v>0</v>
      </c>
      <c r="J60" s="65" t="s">
        <v>354</v>
      </c>
    </row>
    <row r="61" spans="1:10" x14ac:dyDescent="0.25">
      <c r="A61" s="52">
        <v>45290</v>
      </c>
      <c r="B61" s="53"/>
      <c r="C61" s="54">
        <v>0</v>
      </c>
      <c r="D61" s="55"/>
      <c r="E61" s="56">
        <v>0</v>
      </c>
      <c r="F61" s="57">
        <v>0</v>
      </c>
      <c r="G61" s="58">
        <v>0</v>
      </c>
      <c r="H61" s="59">
        <f t="shared" si="2"/>
        <v>0</v>
      </c>
      <c r="I61" s="60">
        <f t="shared" si="3"/>
        <v>0</v>
      </c>
      <c r="J61" s="65"/>
    </row>
    <row r="62" spans="1:10" x14ac:dyDescent="0.25">
      <c r="A62" s="52">
        <v>45291</v>
      </c>
      <c r="B62" s="53"/>
      <c r="C62" s="54">
        <v>0</v>
      </c>
      <c r="D62" s="55"/>
      <c r="E62" s="56">
        <v>0</v>
      </c>
      <c r="F62" s="57">
        <v>0</v>
      </c>
      <c r="G62" s="58">
        <v>0</v>
      </c>
      <c r="H62" s="59">
        <f t="shared" si="2"/>
        <v>0</v>
      </c>
      <c r="I62" s="60">
        <f t="shared" si="3"/>
        <v>0</v>
      </c>
      <c r="J62" s="6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NOVEMBRO 2023</vt:lpstr>
      <vt:lpstr>DEZEMBRO 2023</vt:lpstr>
      <vt:lpstr>JANEIRO DE 2024</vt:lpstr>
      <vt:lpstr>FEVEREIRO DE 2024</vt:lpstr>
      <vt:lpstr>MARÇO DE 2024</vt:lpstr>
      <vt:lpstr>ABRIL DE 2024</vt:lpstr>
      <vt:lpstr>MAIO DE 2024</vt:lpstr>
      <vt:lpstr>JUNHO DE 2024</vt:lpstr>
      <vt:lpstr>JULHO DE 2024</vt:lpstr>
      <vt:lpstr>AGOSTO DE 2024</vt:lpstr>
      <vt:lpstr>SETEMBRO DE 2024</vt:lpstr>
      <vt:lpstr>OUTUBRO DE 2024</vt:lpstr>
      <vt:lpstr>NOVEMBRO DE 2024</vt:lpstr>
      <vt:lpstr>DEZEMBRO DE 2024</vt:lpstr>
      <vt:lpstr>JANEIRO 2025</vt:lpstr>
      <vt:lpstr>FEVEREIRO 2025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GERAL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</dc:creator>
  <cp:keywords/>
  <dc:description/>
  <cp:lastModifiedBy>Dan</cp:lastModifiedBy>
  <cp:revision/>
  <cp:lastPrinted>2025-11-03T17:16:04Z</cp:lastPrinted>
  <dcterms:created xsi:type="dcterms:W3CDTF">2023-11-02T04:06:40Z</dcterms:created>
  <dcterms:modified xsi:type="dcterms:W3CDTF">2025-12-02T22:00:37Z</dcterms:modified>
  <cp:category/>
  <cp:contentStatus/>
</cp:coreProperties>
</file>